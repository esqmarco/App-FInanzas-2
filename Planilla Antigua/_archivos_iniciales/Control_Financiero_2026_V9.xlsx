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URACION" sheetId="1" state="visible" r:id="rId3"/>
    <sheet name="TABLERO" sheetId="2" state="visible" r:id="rId4"/>
    <sheet name="PRESUPUESTO" sheetId="3" state="visible" r:id="rId5"/>
    <sheet name="GASTOS FIJOS" sheetId="4" state="visible" r:id="rId6"/>
    <sheet name="CARGA" sheetId="5" state="visible" r:id="rId7"/>
    <sheet name="MOVIMIENT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<sst xmlns="http://schemas.openxmlformats.org/spreadsheetml/2006/main" count="716" uniqueCount="288">
  <si>
    <t xml:space="preserve">CONFIGURACION DEL SISTEMA</t>
  </si>
  <si>
    <t xml:space="preserve">ENTIDAD</t>
  </si>
  <si>
    <t xml:space="preserve">TIPO MOV.</t>
  </si>
  <si>
    <t xml:space="preserve">FRECUENCIA</t>
  </si>
  <si>
    <t xml:space="preserve">ESTADO</t>
  </si>
  <si>
    <t xml:space="preserve">CUENTAS</t>
  </si>
  <si>
    <t xml:space="preserve">MESES</t>
  </si>
  <si>
    <t xml:space="preserve">META</t>
  </si>
  <si>
    <t xml:space="preserve">VALOR</t>
  </si>
  <si>
    <t xml:space="preserve">Familia</t>
  </si>
  <si>
    <t xml:space="preserve">Ingreso</t>
  </si>
  <si>
    <t xml:space="preserve">Fijo/Mensual</t>
  </si>
  <si>
    <t xml:space="preserve">Pendiente</t>
  </si>
  <si>
    <t xml:space="preserve">Atlas (NT)</t>
  </si>
  <si>
    <t xml:space="preserve">Enero</t>
  </si>
  <si>
    <t xml:space="preserve">% Ganancia Meta</t>
  </si>
  <si>
    <t xml:space="preserve">7%</t>
  </si>
  <si>
    <t xml:space="preserve">NeuroTEA</t>
  </si>
  <si>
    <t xml:space="preserve">Egreso</t>
  </si>
  <si>
    <t xml:space="preserve">Variable/Mensual</t>
  </si>
  <si>
    <t xml:space="preserve">Pagado</t>
  </si>
  <si>
    <t xml:space="preserve">ITAU Marco</t>
  </si>
  <si>
    <t xml:space="preserve">Febrero</t>
  </si>
  <si>
    <t xml:space="preserve">% Utilidad</t>
  </si>
  <si>
    <t xml:space="preserve">2.33%</t>
  </si>
  <si>
    <t xml:space="preserve">Prestamo NT-Fam</t>
  </si>
  <si>
    <t xml:space="preserve">Fijo/Anual</t>
  </si>
  <si>
    <t xml:space="preserve">Cancelado</t>
  </si>
  <si>
    <t xml:space="preserve">ITAU Clara</t>
  </si>
  <si>
    <t xml:space="preserve">Marzo</t>
  </si>
  <si>
    <t xml:space="preserve">% Fondo Emerg</t>
  </si>
  <si>
    <t xml:space="preserve">Devol Fam-NT</t>
  </si>
  <si>
    <t xml:space="preserve">Variable/Anual</t>
  </si>
  <si>
    <t xml:space="preserve">UENO Clara</t>
  </si>
  <si>
    <t xml:space="preserve">Abril</t>
  </si>
  <si>
    <t xml:space="preserve">% Fondo Inv</t>
  </si>
  <si>
    <t xml:space="preserve">Variable</t>
  </si>
  <si>
    <t xml:space="preserve">Coop Univ Marco</t>
  </si>
  <si>
    <t xml:space="preserve">Mayo</t>
  </si>
  <si>
    <t xml:space="preserve">% Gastos Max</t>
  </si>
  <si>
    <t xml:space="preserve">93%</t>
  </si>
  <si>
    <t xml:space="preserve">Coop Univ Clara</t>
  </si>
  <si>
    <t xml:space="preserve">Junio</t>
  </si>
  <si>
    <t xml:space="preserve">Caja NT</t>
  </si>
  <si>
    <t xml:space="preserve">Julio</t>
  </si>
  <si>
    <t xml:space="preserve">Efectivo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</si>
  <si>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</si>
  <si>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</si>
  <si>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</si>
  <si>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</si>
  <si>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</si>
  <si>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CATEGORIAS FAMILIA</t>
  </si>
  <si>
    <t xml:space="preserve">CATEGORIAS NEUROTEA</t>
  </si>
  <si>
    <t xml:space="preserve">Gastos Fijos</t>
  </si>
  <si>
    <t xml:space="preserve">Clinica</t>
  </si>
  <si>
    <t xml:space="preserve">Cuotas y Prestamos</t>
  </si>
  <si>
    <t xml:space="preserve">Sueldos y Honorarios</t>
  </si>
  <si>
    <t xml:space="preserve">Obligaciones</t>
  </si>
  <si>
    <t xml:space="preserve">Telefonia</t>
  </si>
  <si>
    <t xml:space="preserve">Suscripciones</t>
  </si>
  <si>
    <t xml:space="preserve">Variables</t>
  </si>
  <si>
    <t xml:space="preserve">Eventos</t>
  </si>
  <si>
    <t xml:space="preserve">Ahorro</t>
  </si>
  <si>
    <t xml:space="preserve">Ganancia</t>
  </si>
  <si>
    <t xml:space="preserve">TABLERO DE CONTROL FINANCIERO 2026</t>
  </si>
  <si>
    <t xml:space="preserve">MES:</t>
  </si>
  <si>
    <t xml:space="preserve">Enero 2026</t>
  </si>
  <si>
    <t xml:space="preserve">Hoy:</t>
  </si>
  <si>
    <t xml:space="preserve">FAMILIA</t>
  </si>
  <si>
    <t xml:space="preserve">NEUROTEA</t>
  </si>
  <si>
    <t xml:space="preserve">SALDOS EN CUENTAS</t>
  </si>
  <si>
    <t xml:space="preserve">INDICADORES DE METAS</t>
  </si>
  <si>
    <t xml:space="preserve">Cuenta</t>
  </si>
  <si>
    <t xml:space="preserve">Esperado</t>
  </si>
  <si>
    <t xml:space="preserve">Real</t>
  </si>
  <si>
    <t xml:space="preserve">Diferencia</t>
  </si>
  <si>
    <t xml:space="preserve">Ingresos del Mes</t>
  </si>
  <si>
    <t xml:space="preserve">Gastos del Mes</t>
  </si>
  <si>
    <t xml:space="preserve">Coop. Univ. Marco</t>
  </si>
  <si>
    <t xml:space="preserve">Ganancia Real</t>
  </si>
  <si>
    <t xml:space="preserve">Meta 7%</t>
  </si>
  <si>
    <t xml:space="preserve">% Gastos sobre Ingresos:</t>
  </si>
  <si>
    <t xml:space="preserve">0% / 93% max</t>
  </si>
  <si>
    <t xml:space="preserve">Tarjeta Solar</t>
  </si>
  <si>
    <t xml:space="preserve">Tarjeta ITAU Clara</t>
  </si>
  <si>
    <t xml:space="preserve">Distribucion de Ganancia (7%)</t>
  </si>
  <si>
    <t xml:space="preserve">Gourmed</t>
  </si>
  <si>
    <t xml:space="preserve">Utilidad Dueno</t>
  </si>
  <si>
    <t xml:space="preserve">Fondo Emerg.</t>
  </si>
  <si>
    <t xml:space="preserve">Fondo Inversion</t>
  </si>
  <si>
    <t xml:space="preserve">PRESUPUESTO vs REAL</t>
  </si>
  <si>
    <t xml:space="preserve">Categoria</t>
  </si>
  <si>
    <t xml:space="preserve">Presupuesto</t>
  </si>
  <si>
    <t xml:space="preserve">Estado</t>
  </si>
  <si>
    <t xml:space="preserve">INGRESOS FAMILIA</t>
  </si>
  <si>
    <t xml:space="preserve">Mes</t>
  </si>
  <si>
    <t xml:space="preserve">Acumulado</t>
  </si>
  <si>
    <t xml:space="preserve">GASTOS FIJOS</t>
  </si>
  <si>
    <t xml:space="preserve">Atlas NeuroTEA</t>
  </si>
  <si>
    <t xml:space="preserve">CUOTAS Y PRESTAMOS</t>
  </si>
  <si>
    <t xml:space="preserve">Costos Operativos</t>
  </si>
  <si>
    <t xml:space="preserve">OBLIGACIONES LEGALES</t>
  </si>
  <si>
    <t xml:space="preserve">Utilidad del Dueno</t>
  </si>
  <si>
    <t xml:space="preserve">SUSCRIPCIONES</t>
  </si>
  <si>
    <t xml:space="preserve">Fondo Emergencia</t>
  </si>
  <si>
    <t xml:space="preserve">VARIABLES</t>
  </si>
  <si>
    <t xml:space="preserve">AHORRO</t>
  </si>
  <si>
    <t xml:space="preserve">BALANCE FAMILIA</t>
  </si>
  <si>
    <t xml:space="preserve">FLUJO DEL MES</t>
  </si>
  <si>
    <t xml:space="preserve">INGRESOS NT</t>
  </si>
  <si>
    <t xml:space="preserve">Ingresos</t>
  </si>
  <si>
    <t xml:space="preserve">CLINICA</t>
  </si>
  <si>
    <t xml:space="preserve">Egresos Pagados</t>
  </si>
  <si>
    <t xml:space="preserve">SUELDOS Y HONORARIOS</t>
  </si>
  <si>
    <t xml:space="preserve">Egresos Pendientes</t>
  </si>
  <si>
    <t xml:space="preserve">TELEFONIA E INTERNET</t>
  </si>
  <si>
    <t xml:space="preserve">BALANCE</t>
  </si>
  <si>
    <t xml:space="preserve">EVENTOS</t>
  </si>
  <si>
    <t xml:space="preserve">LIQUIDEZ - PROXIMOS PAGOS</t>
  </si>
  <si>
    <t xml:space="preserve">Concepto</t>
  </si>
  <si>
    <t xml:space="preserve">Cuotas</t>
  </si>
  <si>
    <t xml:space="preserve">Monto</t>
  </si>
  <si>
    <t xml:space="preserve">Saldo</t>
  </si>
  <si>
    <t xml:space="preserve">GANANCIA (7%)</t>
  </si>
  <si>
    <t xml:space="preserve">Caja disponible</t>
  </si>
  <si>
    <t xml:space="preserve">BALANCE NEUROTEA</t>
  </si>
  <si>
    <t xml:space="preserve">Atrasados</t>
  </si>
  <si>
    <t xml:space="preserve">Esta semana</t>
  </si>
  <si>
    <t xml:space="preserve">Proxima semana</t>
  </si>
  <si>
    <t xml:space="preserve">3ra semana</t>
  </si>
  <si>
    <t xml:space="preserve">SALDO FINAL</t>
  </si>
  <si>
    <t xml:space="preserve">BALANCE CRUZADO: NEUROTEA &lt;-&gt; FAMILIA</t>
  </si>
  <si>
    <t xml:space="preserve">Este Mes</t>
  </si>
  <si>
    <t xml:space="preserve">Acumulado Ano</t>
  </si>
  <si>
    <t xml:space="preserve">ALERTA
NT SUBSIDIA A FAMILIA</t>
  </si>
  <si>
    <t xml:space="preserve">Prestamo NT -&gt; Familia</t>
  </si>
  <si>
    <t xml:space="preserve">Devolucion Familia -&gt; NT</t>
  </si>
  <si>
    <t xml:space="preserve">SALDO NETO</t>
  </si>
  <si>
    <t xml:space="preserve">PRESUPUESTO ANUAL 2026</t>
  </si>
  <si>
    <t xml:space="preserve">Los valores en azul son editables. Los valores en negro son calculados automaticamente.</t>
  </si>
  <si>
    <t xml:space="preserve">PRESUPUESTO FAMILIA</t>
  </si>
  <si>
    <t xml:space="preserve">CONCEPTO</t>
  </si>
  <si>
    <t xml:space="preserve">TIPO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</si>
  <si>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</si>
  <si>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</si>
  <si>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</si>
  <si>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</si>
  <si>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</si>
  <si>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</si>
  <si>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</si>
  <si>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</si>
  <si>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</si>
  <si>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</si>
  <si>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</si>
  <si>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</si>
  <si>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</t>
  </si>
  <si>
    <t xml:space="preserve">Salario Marco</t>
  </si>
  <si>
    <t xml:space="preserve">Salario Marco NeuroTEA</t>
  </si>
  <si>
    <t xml:space="preserve">Vacaciones Marco</t>
  </si>
  <si>
    <t xml:space="preserve">Aguinaldo Marco</t>
  </si>
  <si>
    <t xml:space="preserve">Viatico Marco</t>
  </si>
  <si>
    <t xml:space="preserve">Animador Biblico</t>
  </si>
  <si>
    <t xml:space="preserve">Honorarios Clara NT</t>
  </si>
  <si>
    <t xml:space="preserve">Reserva</t>
  </si>
  <si>
    <t xml:space="preserve">TOTAL INGRESOS FAMILIA</t>
  </si>
  <si>
    <t xml:space="preserve">EGRESOS - GASTOS FIJOS</t>
  </si>
  <si>
    <t xml:space="preserve">Salario Lili Domestico</t>
  </si>
  <si>
    <t xml:space="preserve">Salario Laura Domestico</t>
  </si>
  <si>
    <t xml:space="preserve">Escuela Fabian y Brenda</t>
  </si>
  <si>
    <t xml:space="preserve">Robotica Ninos</t>
  </si>
  <si>
    <t xml:space="preserve">ANDE Casa</t>
  </si>
  <si>
    <t xml:space="preserve">Expensa Casa</t>
  </si>
  <si>
    <t xml:space="preserve">Na Luisa</t>
  </si>
  <si>
    <t xml:space="preserve">Contadora Marco</t>
  </si>
  <si>
    <t xml:space="preserve">SUBTOTAL GASTOS FIJOS</t>
  </si>
  <si>
    <t xml:space="preserve">EGRESOS - CUOTAS Y PRESTAMOS</t>
  </si>
  <si>
    <t xml:space="preserve">Cajubi Marco</t>
  </si>
  <si>
    <t xml:space="preserve">Mutual Marco</t>
  </si>
  <si>
    <t xml:space="preserve">Cuota ITAU</t>
  </si>
  <si>
    <t xml:space="preserve">Auto Laura Cuota</t>
  </si>
  <si>
    <t xml:space="preserve">Coop. Universitaria Clara</t>
  </si>
  <si>
    <t xml:space="preserve">Coomecipar Clara</t>
  </si>
  <si>
    <t xml:space="preserve">Solar Prestamo 1</t>
  </si>
  <si>
    <t xml:space="preserve">Solar Prestamo 2</t>
  </si>
  <si>
    <t xml:space="preserve">SUBTOTAL CUOTAS Y PRESTAMOS</t>
  </si>
  <si>
    <t xml:space="preserve">EGRESOS - SUSCRIPCIONES</t>
  </si>
  <si>
    <t xml:space="preserve">Giganet</t>
  </si>
  <si>
    <t xml:space="preserve">Tigo Familiar</t>
  </si>
  <si>
    <t xml:space="preserve">SUBTOTAL SUSCRIPCIONES</t>
  </si>
  <si>
    <t xml:space="preserve">EGRESOS - VARIABLES</t>
  </si>
  <si>
    <t xml:space="preserve">Supermercado</t>
  </si>
  <si>
    <t xml:space="preserve">Combustible</t>
  </si>
  <si>
    <t xml:space="preserve">Salud y Medicamentos</t>
  </si>
  <si>
    <t xml:space="preserve">Recreacion</t>
  </si>
  <si>
    <t xml:space="preserve">Gastos no identificados</t>
  </si>
  <si>
    <t xml:space="preserve">SUBTOTAL VARIABLES</t>
  </si>
  <si>
    <t xml:space="preserve">TOTAL EGRESOS FAMILIA</t>
  </si>
  <si>
    <t xml:space="preserve">BALANCE FAMILIA (Ing - Egr)</t>
  </si>
  <si>
    <t xml:space="preserve">PRESUPUESTO NEUROTEA</t>
  </si>
  <si>
    <t xml:space="preserve">INGRESOS NEUROTEA</t>
  </si>
  <si>
    <t xml:space="preserve">Aporte NeuroTEA Terapeutas</t>
  </si>
  <si>
    <t xml:space="preserve">Cursos NeuroTEA</t>
  </si>
  <si>
    <t xml:space="preserve">Otros Ingresos</t>
  </si>
  <si>
    <t xml:space="preserve">TOTAL INGRESOS NEUROTEA</t>
  </si>
  <si>
    <t xml:space="preserve">EGRESOS NT - CLINICA</t>
  </si>
  <si>
    <t xml:space="preserve">Alquiler 1 (Principal)</t>
  </si>
  <si>
    <t xml:space="preserve">Alquiler 2 (Secundario)</t>
  </si>
  <si>
    <t xml:space="preserve">ANDE Clinica</t>
  </si>
  <si>
    <t xml:space="preserve">SUBTOTAL CLINICA</t>
  </si>
  <si>
    <t xml:space="preserve">EGRESOS NT - SUELDOS Y HONORARIOS</t>
  </si>
  <si>
    <t xml:space="preserve">Sueldo Aracely</t>
  </si>
  <si>
    <t xml:space="preserve">Sueldo Fatima</t>
  </si>
  <si>
    <t xml:space="preserve">Honorario Contador</t>
  </si>
  <si>
    <t xml:space="preserve">Salario Administrador</t>
  </si>
  <si>
    <t xml:space="preserve">Honorario Mant. Sistema</t>
  </si>
  <si>
    <t xml:space="preserve">SUBTOTAL SUELDOS</t>
  </si>
  <si>
    <t xml:space="preserve">EGRESOS NT - TELEFONIA E INTERNET</t>
  </si>
  <si>
    <t xml:space="preserve">Celular Tigo NeuroTEA</t>
  </si>
  <si>
    <t xml:space="preserve">Celular Tigo Sistema</t>
  </si>
  <si>
    <t xml:space="preserve">WhatsFlow</t>
  </si>
  <si>
    <t xml:space="preserve">Internet NeuroTEA</t>
  </si>
  <si>
    <t xml:space="preserve">SUBTOTAL TELEFONIA</t>
  </si>
  <si>
    <t xml:space="preserve">EGRESOS NT - OBLIGACIONES LEGALES</t>
  </si>
  <si>
    <t xml:space="preserve">IVA</t>
  </si>
  <si>
    <t xml:space="preserve">IPS</t>
  </si>
  <si>
    <t xml:space="preserve">SUBTOTAL OBLIGACIONES</t>
  </si>
  <si>
    <t xml:space="preserve">EGRESOS NT - VARIABLES</t>
  </si>
  <si>
    <t xml:space="preserve">Insumos y Papeleria</t>
  </si>
  <si>
    <t xml:space="preserve">Gastos Cursos</t>
  </si>
  <si>
    <t xml:space="preserve">Mantenimiento</t>
  </si>
  <si>
    <t xml:space="preserve">SUBTOTAL VARIABLES NT</t>
  </si>
  <si>
    <t xml:space="preserve">TOTAL EGRESOS NEUROTEA</t>
  </si>
  <si>
    <t xml:space="preserve">GANANCIA NEUROTEA (Meta 7%)</t>
  </si>
  <si>
    <t xml:space="preserve">Ganancia Bruta (Ing - Egr)</t>
  </si>
  <si>
    <t xml:space="preserve">Calculado</t>
  </si>
  <si>
    <t xml:space="preserve">Utilidad Propietario (1/3)</t>
  </si>
  <si>
    <t xml:space="preserve">Fondo Emergencia (1/3)</t>
  </si>
  <si>
    <t xml:space="preserve">Fondo Inversion (1/3)</t>
  </si>
  <si>
    <t xml:space="preserve">GASTOS FIJOS - LISTA MAESTRA</t>
  </si>
  <si>
    <t xml:space="preserve">DIA = dia del mes que vence. Si un mes esta vacio, usa el MONTO BASE.</t>
  </si>
  <si>
    <t xml:space="preserve">CATEGORIA</t>
  </si>
  <si>
    <t xml:space="preserve">DIA</t>
  </si>
  <si>
    <t xml:space="preserve">BASE</t>
  </si>
  <si>
    <t xml:space="preserve">GASTOS FIJOS FAMILIA</t>
  </si>
  <si>
    <t xml:space="preserve">CUOTAS Y PRESTAMOS FAMILIA</t>
  </si>
  <si>
    <t xml:space="preserve">SUSCRIPCIONES FAMILIA</t>
  </si>
  <si>
    <t xml:space="preserve">CLINICA NEUROTEA</t>
  </si>
  <si>
    <t xml:space="preserve">SUELDOS Y HONORARIOS NT</t>
  </si>
  <si>
    <t xml:space="preserve">Sueldos</t>
  </si>
  <si>
    <t xml:space="preserve">TELEFONIA E INTERNET NT</t>
  </si>
  <si>
    <t xml:space="preserve">OBLIGACIONES LEGALES NT</t>
  </si>
  <si>
    <t xml:space="preserve">REGISTRO DE MOVIMIENTOS VARIABLES</t>
  </si>
  <si>
    <t xml:space="preserve">Solo cargar movimientos tipo 'Variable' (Supermercado, Combustible, Aportes Terapeutas, etc.)</t>
  </si>
  <si>
    <t xml:space="preserve">FECHA</t>
  </si>
  <si>
    <t xml:space="preserve">DESCRIPCION</t>
  </si>
  <si>
    <t xml:space="preserve">MONTO</t>
  </si>
  <si>
    <t xml:space="preserve">CUENTA</t>
  </si>
  <si>
    <t xml:space="preserve">NOTAS</t>
  </si>
  <si>
    <t xml:space="preserve">MOVIMIENTO MENSUAL</t>
  </si>
  <si>
    <t xml:space="preserve">REAL</t>
  </si>
  <si>
    <t xml:space="preserve">PRESUP.</t>
  </si>
  <si>
    <t xml:space="preserve">%</t>
  </si>
  <si>
    <t xml:space="preserve">Aporte Terapeutas</t>
  </si>
  <si>
    <t xml:space="preserve">TOTAL INGRESOS NT</t>
  </si>
  <si>
    <t xml:space="preserve">EGRESOS - CLINICA</t>
  </si>
  <si>
    <t xml:space="preserve">TOTAL INGRESOS</t>
  </si>
  <si>
    <t xml:space="preserve">Alquiler Principal</t>
  </si>
  <si>
    <t xml:space="preserve">Alquiler Secundario</t>
  </si>
  <si>
    <t xml:space="preserve">Salario Lili</t>
  </si>
  <si>
    <t xml:space="preserve">Salario Laura</t>
  </si>
  <si>
    <t xml:space="preserve">Escuela Ninos</t>
  </si>
  <si>
    <t xml:space="preserve">EGRESOS - SUELDOS</t>
  </si>
  <si>
    <t xml:space="preserve">Salario Admin</t>
  </si>
  <si>
    <t xml:space="preserve">Mant. Sistema</t>
  </si>
  <si>
    <t xml:space="preserve">EGRESOS - CUOTAS</t>
  </si>
  <si>
    <t xml:space="preserve">EGRESOS - TELEFONIA</t>
  </si>
  <si>
    <t xml:space="preserve">Celular Tigo NT</t>
  </si>
  <si>
    <t xml:space="preserve">Celular Sistema</t>
  </si>
  <si>
    <t xml:space="preserve">Auto Laura</t>
  </si>
  <si>
    <t xml:space="preserve">Internet NT</t>
  </si>
  <si>
    <t xml:space="preserve">EGRESOS - OBLIGACIONES</t>
  </si>
  <si>
    <t xml:space="preserve">SUBTOTAL CUOTAS</t>
  </si>
  <si>
    <t xml:space="preserve">Insumos</t>
  </si>
  <si>
    <t xml:space="preserve">TOTAL EGRESOS NT</t>
  </si>
  <si>
    <t xml:space="preserve">GANANCIA BRUTA NT</t>
  </si>
  <si>
    <t xml:space="preserve">Salud</t>
  </si>
  <si>
    <t xml:space="preserve">Varios</t>
  </si>
  <si>
    <t xml:space="preserve">TOTAL EGRESOS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</si>
</sst>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375623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sz val="9"/>
      <color rgb="FF404040"/>
      <name val="Cambria"/>
      <family val="0"/>
      <charset val="1"/>
    </font>
    <font>
      <b val="true"/>
      <sz val="10"/>
      <name val="Cambria"/>
      <family val="0"/>
      <charset val="1"/>
    </font>
    <font>
      <sz val="9"/>
      <color rgb="FFFFFFFF"/>
      <name val="Cambria"/>
      <family val="0"/>
      <charset val="1"/>
    </font>
    <font>
      <b val="true"/>
      <sz val="12"/>
      <color rgb="FF843C0C"/>
      <name val="Cambria"/>
      <family val="0"/>
      <charset val="1"/>
    </font>
    <font>
      <i val="true"/>
      <sz val="9"/>
      <color rgb="FF404040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name val="Cambria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404040"/>
      </patternFill>
    </fill>
    <fill>
      <patternFill patternType="solid">
        <fgColor rgb="FFFFEB9C"/>
        <bgColor rgb="FFF2F2F2"/>
      </patternFill>
    </fill>
    <fill>
      <patternFill patternType="solid">
        <fgColor rgb="FF548235"/>
        <bgColor rgb="FF339966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D9D9"/>
      </patternFill>
    </fill>
    <fill>
      <patternFill patternType="solid">
        <fgColor rgb="FF7030A0"/>
        <bgColor rgb="FF993366"/>
      </patternFill>
    </fill>
    <fill>
      <patternFill patternType="solid">
        <fgColor rgb="FFED7D31"/>
        <bgColor rgb="FFFF8080"/>
      </patternFill>
    </fill>
    <fill>
      <patternFill patternType="solid">
        <fgColor rgb="FF0891B2"/>
        <bgColor rgb="FF008080"/>
      </patternFill>
    </fill>
    <fill>
      <patternFill patternType="solid">
        <fgColor rgb="FFFFC7CE"/>
        <bgColor rgb="FFE8D5E8"/>
      </patternFill>
    </fill>
    <fill>
      <patternFill patternType="solid">
        <fgColor rgb="FFE8D5E8"/>
        <bgColor rgb="FFD9D9D9"/>
      </patternFill>
    </fill>
    <fill>
      <patternFill patternType="solid">
        <fgColor rgb="FF843C0C"/>
        <bgColor rgb="FF993366"/>
      </patternFill>
    </fill>
    <fill>
      <patternFill patternType="solid">
        <fgColor rgb="FF404040"/>
        <bgColor rgb="FF37562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9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13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1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891B2"/>
      <rgbColor rgb="FFD9D9D9"/>
      <rgbColor rgb="FF808080"/>
      <rgbColor rgb="FF9999FF"/>
      <rgbColor rgb="FF7030A0"/>
      <rgbColor rgb="FFF2F2F2"/>
      <rgbColor rgb="FFE8D5E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75623"/>
      <rgbColor rgb="FF843C0C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</row>
    <row r="5" customFormat="false" ht="15" hidden="false" customHeight="false" outlineLevel="0" collapsed="false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</row>
    <row r="6" customFormat="false" ht="15" hidden="false" customHeight="false" outlineLevel="0" collapsed="false"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24</v>
      </c>
    </row>
    <row r="7" customFormat="false" ht="15" hidden="false" customHeight="false" outlineLevel="0" collapsed="false">
      <c r="B7" s="3" t="s">
        <v>31</v>
      </c>
      <c r="C7" s="3" t="s">
        <v>32</v>
      </c>
      <c r="E7" s="3" t="s">
        <v>33</v>
      </c>
      <c r="F7" s="3" t="s">
        <v>34</v>
      </c>
      <c r="G7" s="3" t="s">
        <v>35</v>
      </c>
      <c r="H7" s="3" t="s">
        <v>24</v>
      </c>
    </row>
    <row r="8" customFormat="false" ht="15" hidden="false" customHeight="false" outlineLevel="0" collapsed="false">
      <c r="C8" s="3" t="s">
        <v>36</v>
      </c>
      <c r="E8" s="3" t="s">
        <v>37</v>
      </c>
      <c r="F8" s="3" t="s">
        <v>38</v>
      </c>
      <c r="G8" s="3" t="s">
        <v>39</v>
      </c>
      <c r="H8" s="3" t="s">
        <v>40</v>
      </c>
    </row>
    <row r="9" customFormat="false" ht="15" hidden="false" customHeight="false" outlineLevel="0" collapsed="false">
      <c r="E9" s="3" t="s">
        <v>41</v>
      </c>
      <c r="F9" s="3" t="s">
        <v>42</v>
      </c>
    </row>
    <row r="10" customFormat="false" ht="15" hidden="false" customHeight="false" outlineLevel="0" collapsed="false">
      <c r="E10" s="3" t="s">
        <v>43</v>
      </c>
      <c r="F10" s="3" t="s">
        <v>44</v>
      </c>
    </row>
    <row r="11" customFormat="false" ht="15" hidden="false" customHeight="false" outlineLevel="0" collapsed="false">
      <c r="E11" s="3" t="s">
        <v>45</v>
      </c>
      <c r="F11" s="3" t="s">
        <v>46</v>
      </c>
    </row>
    <row r="12" customFormat="false" ht="15" hidden="false" customHeight="false" outlineLevel="0" collapsed="false">
      <c r="F12" s="3" t="s">
        <v>47</v>
      </c>
    </row>
    <row r="13" customFormat="false" ht="15" hidden="false" customHeight="false" outlineLevel="0" collapsed="false">
      <c r="F13" s="3" t="s">
        <v>48</v>
      </c>
    </row>
    <row r="14" customFormat="false" ht="15" hidden="false" customHeight="false" outlineLevel="0" collapsed="false">
      <c r="F14" s="3" t="s">
        <v>49</v>
      </c>
    </row>
    <row r="15" customFormat="false" ht="15" hidden="false" customHeight="false" outlineLevel="0" collapsed="false">
      <c r="F15" s="3" t="s">
        <v>50</v>
      </c>
    </row>
    <row r="18" customFormat="false" ht="15" hidden="false" customHeight="false" outlineLevel="0" collapsed="false">
      <c r="A18" s="4" t="s">
        <v>51</v>
      </c>
      <c r="B18" s="4"/>
      <c r="C18" s="4"/>
      <c r="E18" s="5" t="s">
        <v>52</v>
      </c>
      <c r="F18" s="5"/>
      <c r="G18" s="5"/>
    </row>
    <row r="19" customFormat="false" ht="15" hidden="false" customHeight="false" outlineLevel="0" collapsed="false">
      <c r="A19" s="3" t="s">
        <v>53</v>
      </c>
      <c r="E19" s="3" t="s">
        <v>54</v>
      </c>
    </row>
    <row r="20" customFormat="false" ht="15" hidden="false" customHeight="false" outlineLevel="0" collapsed="false">
      <c r="A20" s="3" t="s">
        <v>55</v>
      </c>
      <c r="E20" s="3" t="s">
        <v>56</v>
      </c>
    </row>
    <row r="21" customFormat="false" ht="15" hidden="false" customHeight="false" outlineLevel="0" collapsed="false">
      <c r="A21" s="3" t="s">
        <v>57</v>
      </c>
      <c r="E21" s="3" t="s">
        <v>58</v>
      </c>
    </row>
    <row r="22" customFormat="false" ht="15" hidden="false" customHeight="false" outlineLevel="0" collapsed="false">
      <c r="A22" s="3" t="s">
        <v>59</v>
      </c>
      <c r="E22" s="3" t="s">
        <v>57</v>
      </c>
    </row>
    <row r="23" customFormat="false" ht="15" hidden="false" customHeight="false" outlineLevel="0" collapsed="false">
      <c r="A23" s="3" t="s">
        <v>60</v>
      </c>
      <c r="E23" s="3" t="s">
        <v>61</v>
      </c>
    </row>
    <row r="24" customFormat="false" ht="15" hidden="false" customHeight="false" outlineLevel="0" collapsed="false">
      <c r="A24" s="3" t="s">
        <v>62</v>
      </c>
      <c r="E24" s="3" t="s">
        <v>60</v>
      </c>
    </row>
    <row r="25" customFormat="false" ht="15" hidden="false" customHeight="false" outlineLevel="0" collapsed="false">
      <c r="E25" s="3" t="s">
        <v>63</v>
      </c>
    </row>
  </sheetData>
  <mergeCells count="3">
    <mergeCell ref="A1:H1"/>
    <mergeCell ref="A18:C18"/>
    <mergeCell ref="E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2"/>
    <col collapsed="false" customWidth="true" hidden="false" outlineLevel="0" max="8" min="8" style="0" width="3"/>
    <col collapsed="false" customWidth="true" hidden="false" outlineLevel="0" max="9" min="9" style="0" width="22"/>
    <col collapsed="false" customWidth="true" hidden="false" outlineLevel="0" max="16" min="10" style="0" width="12"/>
  </cols>
  <sheetData>
    <row r="1" customFormat="false" ht="39.75" hidden="false" customHeight="true" outlineLevel="0" collapsed="false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7.35" hidden="false" customHeight="false" outlineLevel="0" collapsed="false">
      <c r="B2" s="6" t="s">
        <v>65</v>
      </c>
      <c r="C2" s="7" t="s">
        <v>66</v>
      </c>
      <c r="D2" s="7"/>
      <c r="F2" s="8" t="s">
        <v>67</v>
      </c>
      <c r="G2" s="9" t="n">
        <v>46020</v>
      </c>
    </row>
    <row r="4" customFormat="false" ht="24.75" hidden="false" customHeight="true" outlineLevel="0" collapsed="false">
      <c r="A4" s="10" t="s">
        <v>68</v>
      </c>
      <c r="B4" s="10"/>
      <c r="C4" s="10"/>
      <c r="D4" s="10"/>
      <c r="E4" s="10"/>
      <c r="F4" s="10"/>
      <c r="G4" s="10"/>
      <c r="I4" s="11" t="s">
        <v>69</v>
      </c>
      <c r="J4" s="11"/>
      <c r="K4" s="11"/>
      <c r="L4" s="11"/>
      <c r="M4" s="11"/>
      <c r="N4" s="11"/>
      <c r="O4" s="11"/>
      <c r="P4" s="11"/>
    </row>
    <row r="6" customFormat="false" ht="15" hidden="false" customHeight="false" outlineLevel="0" collapsed="false">
      <c r="A6" s="12" t="s">
        <v>70</v>
      </c>
      <c r="I6" s="13" t="s">
        <v>71</v>
      </c>
    </row>
    <row r="7" customFormat="false" ht="15" hidden="false" customHeight="false" outlineLevel="0" collapsed="false">
      <c r="A7" s="14" t="s">
        <v>72</v>
      </c>
      <c r="B7" s="14" t="s">
        <v>73</v>
      </c>
      <c r="C7" s="14" t="s">
        <v>74</v>
      </c>
      <c r="D7" s="14" t="s">
        <v>75</v>
      </c>
      <c r="I7" s="15" t="s">
        <v>76</v>
      </c>
      <c r="K7" s="16" t="s">
        <v>77</v>
      </c>
    </row>
    <row r="8" customFormat="false" ht="15" hidden="false" customHeight="false" outlineLevel="0" collapsed="false">
      <c r="A8" s="3" t="s">
        <v>21</v>
      </c>
      <c r="B8" s="17" t="n">
        <v>0</v>
      </c>
      <c r="C8" s="17" t="n">
        <v>0</v>
      </c>
      <c r="D8" s="18" t="n">
        <f aca="false">C8-B8</f>
        <v>0</v>
      </c>
      <c r="I8" s="19" t="n">
        <v>0</v>
      </c>
      <c r="K8" s="20" t="n">
        <v>0</v>
      </c>
    </row>
    <row r="9" customFormat="false" ht="15" hidden="false" customHeight="false" outlineLevel="0" collapsed="false">
      <c r="A9" s="3" t="s">
        <v>78</v>
      </c>
      <c r="B9" s="17" t="n">
        <v>0</v>
      </c>
      <c r="C9" s="17" t="n">
        <v>0</v>
      </c>
      <c r="D9" s="18" t="n">
        <f aca="false">C9-B9</f>
        <v>0</v>
      </c>
      <c r="I9" s="21" t="s">
        <v>79</v>
      </c>
      <c r="K9" s="21" t="s">
        <v>80</v>
      </c>
    </row>
    <row r="10" customFormat="false" ht="15" hidden="false" customHeight="false" outlineLevel="0" collapsed="false">
      <c r="A10" s="3" t="s">
        <v>28</v>
      </c>
      <c r="B10" s="17" t="n">
        <v>0</v>
      </c>
      <c r="C10" s="17" t="n">
        <v>0</v>
      </c>
      <c r="D10" s="18" t="n">
        <f aca="false">C10-B10</f>
        <v>0</v>
      </c>
      <c r="I10" s="22" t="n">
        <v>0</v>
      </c>
      <c r="K10" s="22" t="n">
        <v>0</v>
      </c>
    </row>
    <row r="11" customFormat="false" ht="15" hidden="false" customHeight="false" outlineLevel="0" collapsed="false">
      <c r="A11" s="3" t="s">
        <v>33</v>
      </c>
      <c r="B11" s="17" t="n">
        <v>0</v>
      </c>
      <c r="C11" s="17" t="n">
        <v>0</v>
      </c>
      <c r="D11" s="18" t="n">
        <f aca="false">C11-B11</f>
        <v>0</v>
      </c>
      <c r="I11" s="8" t="s">
        <v>81</v>
      </c>
      <c r="L11" s="23" t="s">
        <v>82</v>
      </c>
    </row>
    <row r="12" customFormat="false" ht="15" hidden="false" customHeight="false" outlineLevel="0" collapsed="false">
      <c r="A12" s="3" t="s">
        <v>83</v>
      </c>
      <c r="B12" s="17" t="n">
        <v>0</v>
      </c>
      <c r="C12" s="17" t="n">
        <v>0</v>
      </c>
      <c r="D12" s="18" t="n">
        <f aca="false">C12-B12</f>
        <v>0</v>
      </c>
    </row>
    <row r="13" customFormat="false" ht="15" hidden="false" customHeight="false" outlineLevel="0" collapsed="false">
      <c r="A13" s="3" t="s">
        <v>84</v>
      </c>
      <c r="B13" s="17" t="n">
        <v>0</v>
      </c>
      <c r="C13" s="17" t="n">
        <v>0</v>
      </c>
      <c r="D13" s="18" t="n">
        <f aca="false">C13-B13</f>
        <v>0</v>
      </c>
      <c r="I13" s="24" t="s">
        <v>85</v>
      </c>
    </row>
    <row r="14" customFormat="false" ht="15" hidden="false" customHeight="false" outlineLevel="0" collapsed="false">
      <c r="A14" s="3" t="s">
        <v>86</v>
      </c>
      <c r="B14" s="17" t="n">
        <v>0</v>
      </c>
      <c r="C14" s="17" t="n">
        <v>0</v>
      </c>
      <c r="D14" s="18" t="n">
        <f aca="false">C14-B14</f>
        <v>0</v>
      </c>
      <c r="I14" s="25" t="s">
        <v>87</v>
      </c>
      <c r="K14" s="26" t="s">
        <v>88</v>
      </c>
      <c r="M14" s="27" t="s">
        <v>89</v>
      </c>
    </row>
    <row r="15" customFormat="false" ht="15" hidden="false" customHeight="false" outlineLevel="0" collapsed="false">
      <c r="I15" s="28" t="n">
        <v>0</v>
      </c>
      <c r="K15" s="29" t="n">
        <v>0</v>
      </c>
      <c r="M15" s="30" t="n">
        <v>0</v>
      </c>
    </row>
    <row r="16" customFormat="false" ht="15" hidden="false" customHeight="false" outlineLevel="0" collapsed="false">
      <c r="A16" s="12" t="s">
        <v>90</v>
      </c>
    </row>
    <row r="17" customFormat="false" ht="15" hidden="false" customHeight="false" outlineLevel="0" collapsed="false">
      <c r="A17" s="14" t="s">
        <v>91</v>
      </c>
      <c r="B17" s="14" t="s">
        <v>92</v>
      </c>
      <c r="C17" s="14" t="s">
        <v>74</v>
      </c>
      <c r="D17" s="14" t="s">
        <v>93</v>
      </c>
      <c r="I17" s="13" t="s">
        <v>70</v>
      </c>
    </row>
    <row r="18" customFormat="false" ht="15" hidden="false" customHeight="false" outlineLevel="0" collapsed="false">
      <c r="A18" s="3" t="s">
        <v>94</v>
      </c>
      <c r="B18" s="17" t="n">
        <v>0</v>
      </c>
      <c r="C18" s="17" t="n">
        <v>0</v>
      </c>
      <c r="D18" s="31" t="str">
        <f aca="false">IF(B18=0,"-",C18/B18)</f>
        <v>-</v>
      </c>
      <c r="I18" s="2" t="s">
        <v>72</v>
      </c>
      <c r="J18" s="2" t="s">
        <v>95</v>
      </c>
      <c r="K18" s="2" t="s">
        <v>96</v>
      </c>
    </row>
    <row r="19" customFormat="false" ht="15" hidden="false" customHeight="false" outlineLevel="0" collapsed="false">
      <c r="A19" s="3" t="s">
        <v>97</v>
      </c>
      <c r="B19" s="17" t="n">
        <v>0</v>
      </c>
      <c r="C19" s="17" t="n">
        <v>0</v>
      </c>
      <c r="D19" s="31" t="str">
        <f aca="false">IF(B19=0,"-",C19/B19)</f>
        <v>-</v>
      </c>
      <c r="I19" s="3" t="s">
        <v>98</v>
      </c>
      <c r="J19" s="17" t="n">
        <v>0</v>
      </c>
      <c r="K19" s="17" t="n">
        <v>0</v>
      </c>
    </row>
    <row r="20" customFormat="false" ht="15" hidden="false" customHeight="false" outlineLevel="0" collapsed="false">
      <c r="A20" s="3" t="s">
        <v>99</v>
      </c>
      <c r="B20" s="17" t="n">
        <v>0</v>
      </c>
      <c r="C20" s="17" t="n">
        <v>0</v>
      </c>
      <c r="D20" s="31" t="str">
        <f aca="false">IF(B20=0,"-",C20/B20)</f>
        <v>-</v>
      </c>
      <c r="I20" s="3" t="s">
        <v>100</v>
      </c>
      <c r="J20" s="17" t="n">
        <v>0</v>
      </c>
      <c r="K20" s="17" t="n">
        <v>0</v>
      </c>
    </row>
    <row r="21" customFormat="false" ht="15" hidden="false" customHeight="false" outlineLevel="0" collapsed="false">
      <c r="A21" s="3" t="s">
        <v>101</v>
      </c>
      <c r="B21" s="17" t="n">
        <v>0</v>
      </c>
      <c r="C21" s="17" t="n">
        <v>0</v>
      </c>
      <c r="D21" s="31" t="str">
        <f aca="false">IF(B21=0,"-",C21/B21)</f>
        <v>-</v>
      </c>
      <c r="I21" s="3" t="s">
        <v>102</v>
      </c>
      <c r="J21" s="17" t="n">
        <v>0</v>
      </c>
      <c r="K21" s="17" t="n">
        <v>0</v>
      </c>
    </row>
    <row r="22" customFormat="false" ht="15" hidden="false" customHeight="false" outlineLevel="0" collapsed="false">
      <c r="A22" s="3" t="s">
        <v>103</v>
      </c>
      <c r="B22" s="17" t="n">
        <v>0</v>
      </c>
      <c r="C22" s="17" t="n">
        <v>0</v>
      </c>
      <c r="D22" s="31" t="str">
        <f aca="false">IF(B22=0,"-",C22/B22)</f>
        <v>-</v>
      </c>
      <c r="I22" s="3" t="s">
        <v>104</v>
      </c>
      <c r="J22" s="17" t="n">
        <v>0</v>
      </c>
      <c r="K22" s="17" t="n">
        <v>0</v>
      </c>
    </row>
    <row r="23" customFormat="false" ht="15" hidden="false" customHeight="false" outlineLevel="0" collapsed="false">
      <c r="A23" s="3" t="s">
        <v>105</v>
      </c>
      <c r="B23" s="17" t="n">
        <v>0</v>
      </c>
      <c r="C23" s="17" t="n">
        <v>0</v>
      </c>
      <c r="D23" s="31" t="str">
        <f aca="false">IF(B23=0,"-",C23/B23)</f>
        <v>-</v>
      </c>
      <c r="I23" s="3" t="s">
        <v>89</v>
      </c>
      <c r="J23" s="17" t="n">
        <v>0</v>
      </c>
      <c r="K23" s="17" t="n">
        <v>0</v>
      </c>
    </row>
    <row r="24" customFormat="false" ht="15" hidden="false" customHeight="false" outlineLevel="0" collapsed="false">
      <c r="A24" s="3" t="s">
        <v>106</v>
      </c>
      <c r="B24" s="17" t="n">
        <v>0</v>
      </c>
      <c r="C24" s="17" t="n">
        <v>0</v>
      </c>
      <c r="D24" s="31" t="str">
        <f aca="false">IF(B24=0,"-",C24/B24)</f>
        <v>-</v>
      </c>
    </row>
    <row r="25" customFormat="false" ht="15" hidden="false" customHeight="false" outlineLevel="0" collapsed="false">
      <c r="A25" s="32" t="s">
        <v>107</v>
      </c>
      <c r="B25" s="33" t="n">
        <v>0</v>
      </c>
      <c r="C25" s="33" t="n">
        <v>0</v>
      </c>
      <c r="D25" s="34"/>
      <c r="I25" s="13" t="s">
        <v>90</v>
      </c>
    </row>
    <row r="26" customFormat="false" ht="15" hidden="false" customHeight="false" outlineLevel="0" collapsed="false">
      <c r="I26" s="2" t="s">
        <v>91</v>
      </c>
      <c r="J26" s="2" t="s">
        <v>92</v>
      </c>
      <c r="K26" s="2" t="s">
        <v>74</v>
      </c>
      <c r="L26" s="2" t="s">
        <v>93</v>
      </c>
    </row>
    <row r="27" customFormat="false" ht="15" hidden="false" customHeight="false" outlineLevel="0" collapsed="false">
      <c r="A27" s="12" t="s">
        <v>108</v>
      </c>
      <c r="I27" s="3" t="s">
        <v>109</v>
      </c>
      <c r="J27" s="17" t="n">
        <v>0</v>
      </c>
      <c r="K27" s="17" t="n">
        <v>0</v>
      </c>
      <c r="L27" s="31" t="str">
        <f aca="false">IF(J27=0,"-",K27/J27)</f>
        <v>-</v>
      </c>
    </row>
    <row r="28" customFormat="false" ht="15" hidden="false" customHeight="false" outlineLevel="0" collapsed="false">
      <c r="A28" s="35" t="s">
        <v>110</v>
      </c>
      <c r="B28" s="35"/>
      <c r="C28" s="36" t="n">
        <v>0</v>
      </c>
      <c r="I28" s="3" t="s">
        <v>111</v>
      </c>
      <c r="J28" s="17" t="n">
        <v>0</v>
      </c>
      <c r="K28" s="17" t="n">
        <v>0</v>
      </c>
      <c r="L28" s="31" t="str">
        <f aca="false">IF(J28=0,"-",K28/J28)</f>
        <v>-</v>
      </c>
    </row>
    <row r="29" customFormat="false" ht="15" hidden="false" customHeight="false" outlineLevel="0" collapsed="false">
      <c r="A29" s="37" t="s">
        <v>112</v>
      </c>
      <c r="B29" s="37"/>
      <c r="C29" s="38" t="n">
        <v>0</v>
      </c>
      <c r="I29" s="3" t="s">
        <v>113</v>
      </c>
      <c r="J29" s="17" t="n">
        <v>0</v>
      </c>
      <c r="K29" s="17" t="n">
        <v>0</v>
      </c>
      <c r="L29" s="31" t="str">
        <f aca="false">IF(J29=0,"-",K29/J29)</f>
        <v>-</v>
      </c>
    </row>
    <row r="30" customFormat="false" ht="15" hidden="false" customHeight="false" outlineLevel="0" collapsed="false">
      <c r="A30" s="39" t="s">
        <v>114</v>
      </c>
      <c r="B30" s="39"/>
      <c r="C30" s="33" t="n">
        <v>0</v>
      </c>
      <c r="I30" s="3" t="s">
        <v>115</v>
      </c>
      <c r="J30" s="17" t="n">
        <v>0</v>
      </c>
      <c r="K30" s="17" t="n">
        <v>0</v>
      </c>
      <c r="L30" s="31" t="str">
        <f aca="false">IF(J30=0,"-",K30/J30)</f>
        <v>-</v>
      </c>
    </row>
    <row r="31" customFormat="false" ht="15" hidden="false" customHeight="false" outlineLevel="0" collapsed="false">
      <c r="A31" s="40" t="s">
        <v>116</v>
      </c>
      <c r="B31" s="40"/>
      <c r="C31" s="41" t="n">
        <v>0</v>
      </c>
      <c r="I31" s="3" t="s">
        <v>101</v>
      </c>
      <c r="J31" s="17" t="n">
        <v>0</v>
      </c>
      <c r="K31" s="17" t="n">
        <v>0</v>
      </c>
      <c r="L31" s="31" t="str">
        <f aca="false">IF(J31=0,"-",K31/J31)</f>
        <v>-</v>
      </c>
    </row>
    <row r="32" customFormat="false" ht="15" hidden="false" customHeight="false" outlineLevel="0" collapsed="false">
      <c r="I32" s="3" t="s">
        <v>117</v>
      </c>
      <c r="J32" s="17" t="n">
        <v>0</v>
      </c>
      <c r="K32" s="17" t="n">
        <v>0</v>
      </c>
      <c r="L32" s="31" t="str">
        <f aca="false">IF(J32=0,"-",K32/J32)</f>
        <v>-</v>
      </c>
    </row>
    <row r="33" customFormat="false" ht="15" hidden="false" customHeight="false" outlineLevel="0" collapsed="false">
      <c r="A33" s="12" t="s">
        <v>118</v>
      </c>
      <c r="I33" s="3" t="s">
        <v>105</v>
      </c>
      <c r="J33" s="17" t="n">
        <v>0</v>
      </c>
      <c r="K33" s="17" t="n">
        <v>0</v>
      </c>
      <c r="L33" s="31" t="str">
        <f aca="false">IF(J33=0,"-",K33/J33)</f>
        <v>-</v>
      </c>
    </row>
    <row r="34" customFormat="false" ht="15" hidden="false" customHeight="false" outlineLevel="0" collapsed="false">
      <c r="A34" s="14" t="s">
        <v>119</v>
      </c>
      <c r="B34" s="14" t="s">
        <v>120</v>
      </c>
      <c r="C34" s="14" t="s">
        <v>121</v>
      </c>
      <c r="D34" s="14" t="s">
        <v>122</v>
      </c>
      <c r="E34" s="14" t="s">
        <v>93</v>
      </c>
      <c r="I34" s="3" t="s">
        <v>123</v>
      </c>
      <c r="J34" s="17" t="n">
        <v>0</v>
      </c>
      <c r="K34" s="17" t="n">
        <v>0</v>
      </c>
      <c r="L34" s="31" t="str">
        <f aca="false">IF(J34=0,"-",K34/J34)</f>
        <v>-</v>
      </c>
    </row>
    <row r="35" customFormat="false" ht="15" hidden="false" customHeight="false" outlineLevel="0" collapsed="false">
      <c r="A35" s="3" t="s">
        <v>124</v>
      </c>
      <c r="B35" s="3"/>
      <c r="C35" s="17" t="n">
        <v>0</v>
      </c>
      <c r="D35" s="17" t="n">
        <v>0</v>
      </c>
      <c r="E35" s="3"/>
      <c r="I35" s="32" t="s">
        <v>125</v>
      </c>
      <c r="J35" s="34"/>
      <c r="K35" s="34"/>
      <c r="L35" s="34"/>
    </row>
    <row r="36" customFormat="false" ht="15" hidden="false" customHeight="false" outlineLevel="0" collapsed="false">
      <c r="A36" s="3" t="s">
        <v>126</v>
      </c>
      <c r="B36" s="3"/>
      <c r="C36" s="17" t="n">
        <v>0</v>
      </c>
      <c r="D36" s="17" t="n">
        <v>0</v>
      </c>
      <c r="E36" s="3"/>
    </row>
    <row r="37" customFormat="false" ht="15" hidden="false" customHeight="false" outlineLevel="0" collapsed="false">
      <c r="A37" s="3" t="s">
        <v>127</v>
      </c>
      <c r="B37" s="3"/>
      <c r="C37" s="17" t="n">
        <v>0</v>
      </c>
      <c r="D37" s="17" t="n">
        <v>0</v>
      </c>
      <c r="E37" s="3"/>
      <c r="I37" s="13" t="s">
        <v>108</v>
      </c>
    </row>
    <row r="38" customFormat="false" ht="15" hidden="false" customHeight="false" outlineLevel="0" collapsed="false">
      <c r="A38" s="3" t="s">
        <v>128</v>
      </c>
      <c r="B38" s="3"/>
      <c r="C38" s="17" t="n">
        <v>0</v>
      </c>
      <c r="D38" s="17" t="n">
        <v>0</v>
      </c>
      <c r="E38" s="3"/>
      <c r="I38" s="35" t="s">
        <v>110</v>
      </c>
      <c r="J38" s="35"/>
      <c r="K38" s="36" t="n">
        <v>0</v>
      </c>
    </row>
    <row r="39" customFormat="false" ht="15" hidden="false" customHeight="false" outlineLevel="0" collapsed="false">
      <c r="A39" s="3" t="s">
        <v>129</v>
      </c>
      <c r="B39" s="3"/>
      <c r="C39" s="17" t="n">
        <v>0</v>
      </c>
      <c r="D39" s="17" t="n">
        <v>0</v>
      </c>
      <c r="E39" s="3"/>
      <c r="I39" s="37" t="s">
        <v>112</v>
      </c>
      <c r="J39" s="37"/>
      <c r="K39" s="38" t="n">
        <v>0</v>
      </c>
    </row>
    <row r="40" customFormat="false" ht="15" hidden="false" customHeight="false" outlineLevel="0" collapsed="false">
      <c r="A40" s="42" t="s">
        <v>130</v>
      </c>
      <c r="B40" s="42"/>
      <c r="C40" s="43" t="n">
        <v>0</v>
      </c>
      <c r="D40" s="43" t="n">
        <v>0</v>
      </c>
      <c r="E40" s="42"/>
      <c r="I40" s="39" t="s">
        <v>114</v>
      </c>
      <c r="J40" s="39"/>
      <c r="K40" s="33" t="n">
        <v>0</v>
      </c>
    </row>
    <row r="41" customFormat="false" ht="15" hidden="false" customHeight="false" outlineLevel="0" collapsed="false">
      <c r="I41" s="40" t="s">
        <v>116</v>
      </c>
      <c r="J41" s="40"/>
      <c r="K41" s="41" t="n">
        <v>0</v>
      </c>
    </row>
    <row r="43" customFormat="false" ht="15" hidden="false" customHeight="false" outlineLevel="0" collapsed="false">
      <c r="I43" s="13" t="s">
        <v>118</v>
      </c>
    </row>
    <row r="44" customFormat="false" ht="15" hidden="false" customHeight="false" outlineLevel="0" collapsed="false">
      <c r="I44" s="2" t="s">
        <v>119</v>
      </c>
      <c r="J44" s="2" t="s">
        <v>120</v>
      </c>
      <c r="K44" s="2" t="s">
        <v>121</v>
      </c>
      <c r="L44" s="2" t="s">
        <v>122</v>
      </c>
      <c r="M44" s="2" t="s">
        <v>93</v>
      </c>
    </row>
    <row r="45" customFormat="false" ht="15" hidden="false" customHeight="false" outlineLevel="0" collapsed="false">
      <c r="I45" s="3" t="s">
        <v>124</v>
      </c>
      <c r="J45" s="3"/>
      <c r="K45" s="17" t="n">
        <v>0</v>
      </c>
      <c r="L45" s="17" t="n">
        <v>0</v>
      </c>
      <c r="M45" s="3"/>
    </row>
    <row r="46" customFormat="false" ht="15" hidden="false" customHeight="false" outlineLevel="0" collapsed="false">
      <c r="I46" s="3" t="s">
        <v>126</v>
      </c>
      <c r="J46" s="3"/>
      <c r="K46" s="17" t="n">
        <v>0</v>
      </c>
      <c r="L46" s="17" t="n">
        <v>0</v>
      </c>
      <c r="M46" s="3"/>
    </row>
    <row r="47" customFormat="false" ht="15" hidden="false" customHeight="false" outlineLevel="0" collapsed="false">
      <c r="I47" s="3" t="s">
        <v>127</v>
      </c>
      <c r="J47" s="3"/>
      <c r="K47" s="17" t="n">
        <v>0</v>
      </c>
      <c r="L47" s="17" t="n">
        <v>0</v>
      </c>
      <c r="M47" s="3"/>
    </row>
    <row r="48" customFormat="false" ht="15" hidden="false" customHeight="false" outlineLevel="0" collapsed="false">
      <c r="I48" s="3" t="s">
        <v>128</v>
      </c>
      <c r="J48" s="3"/>
      <c r="K48" s="17" t="n">
        <v>0</v>
      </c>
      <c r="L48" s="17" t="n">
        <v>0</v>
      </c>
      <c r="M48" s="3"/>
    </row>
    <row r="49" customFormat="false" ht="15" hidden="false" customHeight="false" outlineLevel="0" collapsed="false">
      <c r="I49" s="3" t="s">
        <v>129</v>
      </c>
      <c r="J49" s="3"/>
      <c r="K49" s="17" t="n">
        <v>0</v>
      </c>
      <c r="L49" s="17" t="n">
        <v>0</v>
      </c>
      <c r="M49" s="3"/>
    </row>
    <row r="50" customFormat="false" ht="15" hidden="false" customHeight="false" outlineLevel="0" collapsed="false">
      <c r="I50" s="42" t="s">
        <v>130</v>
      </c>
      <c r="J50" s="42"/>
      <c r="K50" s="43" t="n">
        <v>0</v>
      </c>
      <c r="L50" s="43" t="n">
        <v>0</v>
      </c>
      <c r="M50" s="42"/>
    </row>
    <row r="52" customFormat="false" ht="24.75" hidden="false" customHeight="true" outlineLevel="0" collapsed="false">
      <c r="A52" s="44" t="s">
        <v>131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</row>
    <row r="54" customFormat="false" ht="15" hidden="false" customHeight="true" outlineLevel="0" collapsed="false">
      <c r="A54" s="45" t="s">
        <v>119</v>
      </c>
      <c r="B54" s="45" t="s">
        <v>132</v>
      </c>
      <c r="C54" s="45" t="s">
        <v>133</v>
      </c>
      <c r="F54" s="46" t="s">
        <v>134</v>
      </c>
      <c r="G54" s="46"/>
      <c r="H54" s="46"/>
    </row>
    <row r="55" customFormat="false" ht="15" hidden="false" customHeight="false" outlineLevel="0" collapsed="false">
      <c r="A55" s="3" t="s">
        <v>135</v>
      </c>
      <c r="B55" s="17" t="n">
        <v>0</v>
      </c>
      <c r="C55" s="17" t="n">
        <v>0</v>
      </c>
      <c r="F55" s="46"/>
      <c r="G55" s="46"/>
      <c r="H55" s="46"/>
    </row>
    <row r="56" customFormat="false" ht="15" hidden="false" customHeight="false" outlineLevel="0" collapsed="false">
      <c r="A56" s="3" t="s">
        <v>136</v>
      </c>
      <c r="B56" s="17" t="n">
        <v>0</v>
      </c>
      <c r="C56" s="17" t="n">
        <v>0</v>
      </c>
      <c r="F56" s="46"/>
      <c r="G56" s="46"/>
      <c r="H56" s="46"/>
    </row>
    <row r="57" customFormat="false" ht="15" hidden="false" customHeight="false" outlineLevel="0" collapsed="false">
      <c r="A57" s="47" t="s">
        <v>137</v>
      </c>
      <c r="B57" s="48" t="n">
        <v>0</v>
      </c>
      <c r="C57" s="48" t="n">
        <v>0</v>
      </c>
      <c r="F57" s="46"/>
      <c r="G57" s="46"/>
      <c r="H57" s="46"/>
    </row>
    <row r="58" customFormat="false" ht="15" hidden="false" customHeight="false" outlineLevel="0" collapsed="false">
      <c r="F58" s="46"/>
      <c r="G58" s="46"/>
      <c r="H58" s="46"/>
    </row>
  </sheetData>
  <mergeCells count="14">
    <mergeCell ref="A1:P1"/>
    <mergeCell ref="C2:D2"/>
    <mergeCell ref="A4:G4"/>
    <mergeCell ref="I4:P4"/>
    <mergeCell ref="A28:B28"/>
    <mergeCell ref="A29:B29"/>
    <mergeCell ref="A30:B30"/>
    <mergeCell ref="A31:B31"/>
    <mergeCell ref="I38:J38"/>
    <mergeCell ref="I39:J39"/>
    <mergeCell ref="I40:J40"/>
    <mergeCell ref="I41:J41"/>
    <mergeCell ref="A52:P52"/>
    <mergeCell ref="F54:H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15" min="3" style="0" width="11"/>
  </cols>
  <sheetData>
    <row r="1" customFormat="false" ht="34.5" hidden="false" customHeight="true" outlineLevel="0" collapsed="false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49" t="s">
        <v>139</v>
      </c>
    </row>
    <row r="4" customFormat="false" ht="15" hidden="false" customHeight="false" outlineLevel="0" collapsed="false">
      <c r="A4" s="4" t="s">
        <v>140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15" hidden="false" customHeight="false" outlineLevel="0" collapsed="false">
      <c r="A5" s="14" t="s">
        <v>141</v>
      </c>
      <c r="B5" s="14" t="s">
        <v>142</v>
      </c>
      <c r="C5" s="14" t="s">
        <v>143</v>
      </c>
      <c r="D5" s="14" t="s">
        <v>144</v>
      </c>
      <c r="E5" s="14" t="s">
        <v>145</v>
      </c>
      <c r="F5" s="14" t="s">
        <v>146</v>
      </c>
      <c r="G5" s="14" t="s">
        <v>147</v>
      </c>
      <c r="H5" s="14" t="s">
        <v>148</v>
      </c>
      <c r="I5" s="14" t="s">
        <v>149</v>
      </c>
      <c r="J5" s="14" t="s">
        <v>150</v>
      </c>
      <c r="K5" s="14" t="s">
        <v>151</v>
      </c>
      <c r="L5" s="14" t="s">
        <v>152</v>
      </c>
      <c r="M5" s="14" t="s">
        <v>153</v>
      </c>
      <c r="N5" s="14" t="s">
        <v>154</v>
      </c>
      <c r="O5" s="50" t="s">
        <v>155</v>
      </c>
    </row>
    <row r="6" customFormat="false" ht="15" hidden="false" customHeight="false" outlineLevel="0" collapsed="false">
      <c r="A6" s="4" t="s">
        <v>94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customFormat="false" ht="15" hidden="false" customHeight="false" outlineLevel="0" collapsed="false">
      <c r="A7" s="3" t="s">
        <v>156</v>
      </c>
      <c r="B7" s="51" t="s">
        <v>11</v>
      </c>
      <c r="C7" s="52" t="n">
        <v>8500000</v>
      </c>
      <c r="D7" s="52" t="n">
        <v>8500000</v>
      </c>
      <c r="E7" s="52" t="n">
        <v>8500000</v>
      </c>
      <c r="F7" s="52" t="n">
        <v>8500000</v>
      </c>
      <c r="G7" s="52" t="n">
        <v>8500000</v>
      </c>
      <c r="H7" s="52" t="n">
        <v>8500000</v>
      </c>
      <c r="I7" s="52" t="n">
        <v>8500000</v>
      </c>
      <c r="J7" s="52" t="n">
        <v>8500000</v>
      </c>
      <c r="K7" s="52" t="n">
        <v>8500000</v>
      </c>
      <c r="L7" s="52" t="n">
        <v>8500000</v>
      </c>
      <c r="M7" s="52" t="n">
        <v>8500000</v>
      </c>
      <c r="N7" s="52" t="n">
        <v>8500000</v>
      </c>
      <c r="O7" s="53" t="n">
        <f aca="false">SUM(C7:N7)</f>
        <v>102000000</v>
      </c>
    </row>
    <row r="8" customFormat="false" ht="15" hidden="false" customHeight="false" outlineLevel="0" collapsed="false">
      <c r="A8" s="3" t="s">
        <v>157</v>
      </c>
      <c r="B8" s="51" t="s">
        <v>11</v>
      </c>
      <c r="C8" s="52" t="n">
        <v>5000000</v>
      </c>
      <c r="D8" s="52" t="n">
        <v>5000000</v>
      </c>
      <c r="E8" s="52" t="n">
        <v>5000000</v>
      </c>
      <c r="F8" s="52" t="n">
        <v>5000000</v>
      </c>
      <c r="G8" s="52" t="n">
        <v>5000000</v>
      </c>
      <c r="H8" s="52" t="n">
        <v>5000000</v>
      </c>
      <c r="I8" s="52" t="n">
        <v>5000000</v>
      </c>
      <c r="J8" s="52" t="n">
        <v>5000000</v>
      </c>
      <c r="K8" s="52" t="n">
        <v>5000000</v>
      </c>
      <c r="L8" s="52" t="n">
        <v>5000000</v>
      </c>
      <c r="M8" s="52" t="n">
        <v>5000000</v>
      </c>
      <c r="N8" s="52" t="n">
        <v>5000000</v>
      </c>
      <c r="O8" s="53" t="n">
        <f aca="false">SUM(C8:N8)</f>
        <v>60000000</v>
      </c>
    </row>
    <row r="9" customFormat="false" ht="15" hidden="false" customHeight="false" outlineLevel="0" collapsed="false">
      <c r="A9" s="3" t="s">
        <v>158</v>
      </c>
      <c r="B9" s="51" t="s">
        <v>32</v>
      </c>
      <c r="C9" s="52" t="n">
        <v>0</v>
      </c>
      <c r="D9" s="52" t="n">
        <v>0</v>
      </c>
      <c r="E9" s="52" t="n">
        <v>0</v>
      </c>
      <c r="F9" s="52" t="n">
        <v>0</v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3" t="n">
        <f aca="false">SUM(C9:N9)</f>
        <v>0</v>
      </c>
    </row>
    <row r="10" customFormat="false" ht="15" hidden="false" customHeight="false" outlineLevel="0" collapsed="false">
      <c r="A10" s="3" t="s">
        <v>159</v>
      </c>
      <c r="B10" s="51" t="s">
        <v>32</v>
      </c>
      <c r="C10" s="52" t="n">
        <v>0</v>
      </c>
      <c r="D10" s="52" t="n">
        <v>0</v>
      </c>
      <c r="E10" s="52" t="n">
        <v>0</v>
      </c>
      <c r="F10" s="52" t="n">
        <v>0</v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3" t="n">
        <f aca="false">SUM(C10:N10)</f>
        <v>0</v>
      </c>
    </row>
    <row r="11" customFormat="false" ht="15" hidden="false" customHeight="false" outlineLevel="0" collapsed="false">
      <c r="A11" s="3" t="s">
        <v>160</v>
      </c>
      <c r="B11" s="51" t="s">
        <v>36</v>
      </c>
      <c r="C11" s="52" t="n">
        <v>500000</v>
      </c>
      <c r="D11" s="52" t="n">
        <v>500000</v>
      </c>
      <c r="E11" s="52" t="n">
        <v>500000</v>
      </c>
      <c r="F11" s="52" t="n">
        <v>500000</v>
      </c>
      <c r="G11" s="52" t="n">
        <v>500000</v>
      </c>
      <c r="H11" s="52" t="n">
        <v>500000</v>
      </c>
      <c r="I11" s="52" t="n">
        <v>500000</v>
      </c>
      <c r="J11" s="52" t="n">
        <v>500000</v>
      </c>
      <c r="K11" s="52" t="n">
        <v>500000</v>
      </c>
      <c r="L11" s="52" t="n">
        <v>500000</v>
      </c>
      <c r="M11" s="52" t="n">
        <v>500000</v>
      </c>
      <c r="N11" s="52" t="n">
        <v>500000</v>
      </c>
      <c r="O11" s="53" t="n">
        <f aca="false">SUM(C11:N11)</f>
        <v>6000000</v>
      </c>
    </row>
    <row r="12" customFormat="false" ht="15" hidden="false" customHeight="false" outlineLevel="0" collapsed="false">
      <c r="A12" s="3" t="s">
        <v>161</v>
      </c>
      <c r="B12" s="51" t="s">
        <v>19</v>
      </c>
      <c r="C12" s="52" t="n">
        <v>200000</v>
      </c>
      <c r="D12" s="52" t="n">
        <v>200000</v>
      </c>
      <c r="E12" s="52" t="n">
        <v>200000</v>
      </c>
      <c r="F12" s="52" t="n">
        <v>200000</v>
      </c>
      <c r="G12" s="52" t="n">
        <v>200000</v>
      </c>
      <c r="H12" s="52" t="n">
        <v>200000</v>
      </c>
      <c r="I12" s="52" t="n">
        <v>200000</v>
      </c>
      <c r="J12" s="52" t="n">
        <v>200000</v>
      </c>
      <c r="K12" s="52" t="n">
        <v>200000</v>
      </c>
      <c r="L12" s="52" t="n">
        <v>200000</v>
      </c>
      <c r="M12" s="52" t="n">
        <v>200000</v>
      </c>
      <c r="N12" s="52" t="n">
        <v>200000</v>
      </c>
      <c r="O12" s="53" t="n">
        <f aca="false">SUM(C12:N12)</f>
        <v>2400000</v>
      </c>
    </row>
    <row r="13" customFormat="false" ht="15" hidden="false" customHeight="false" outlineLevel="0" collapsed="false">
      <c r="A13" s="3" t="s">
        <v>162</v>
      </c>
      <c r="B13" s="51" t="s">
        <v>36</v>
      </c>
      <c r="C13" s="52" t="n">
        <v>3000000</v>
      </c>
      <c r="D13" s="52" t="n">
        <v>3000000</v>
      </c>
      <c r="E13" s="52" t="n">
        <v>3000000</v>
      </c>
      <c r="F13" s="52" t="n">
        <v>3000000</v>
      </c>
      <c r="G13" s="52" t="n">
        <v>3000000</v>
      </c>
      <c r="H13" s="52" t="n">
        <v>3000000</v>
      </c>
      <c r="I13" s="52" t="n">
        <v>3000000</v>
      </c>
      <c r="J13" s="52" t="n">
        <v>3000000</v>
      </c>
      <c r="K13" s="52" t="n">
        <v>3000000</v>
      </c>
      <c r="L13" s="52" t="n">
        <v>3000000</v>
      </c>
      <c r="M13" s="52" t="n">
        <v>3000000</v>
      </c>
      <c r="N13" s="52" t="n">
        <v>3000000</v>
      </c>
      <c r="O13" s="53" t="n">
        <f aca="false">SUM(C13:N13)</f>
        <v>36000000</v>
      </c>
    </row>
    <row r="14" customFormat="false" ht="15" hidden="false" customHeight="false" outlineLevel="0" collapsed="false">
      <c r="A14" s="3" t="s">
        <v>163</v>
      </c>
      <c r="B14" s="51"/>
      <c r="C14" s="52" t="n">
        <v>0</v>
      </c>
      <c r="D14" s="52" t="n">
        <v>0</v>
      </c>
      <c r="E14" s="52" t="n">
        <v>0</v>
      </c>
      <c r="F14" s="52" t="n">
        <v>0</v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3" t="n">
        <f aca="false">SUM(C14:N14)</f>
        <v>0</v>
      </c>
    </row>
    <row r="15" customFormat="false" ht="15" hidden="false" customHeight="false" outlineLevel="0" collapsed="false">
      <c r="A15" s="54" t="s">
        <v>164</v>
      </c>
      <c r="B15" s="55"/>
      <c r="C15" s="56" t="n">
        <f aca="false">SUM(C7:C14)</f>
        <v>17200000</v>
      </c>
      <c r="D15" s="56" t="n">
        <f aca="false">SUM(D7:D14)</f>
        <v>17200000</v>
      </c>
      <c r="E15" s="56" t="n">
        <f aca="false">SUM(E7:E14)</f>
        <v>17200000</v>
      </c>
      <c r="F15" s="56" t="n">
        <f aca="false">SUM(F7:F14)</f>
        <v>17200000</v>
      </c>
      <c r="G15" s="56" t="n">
        <f aca="false">SUM(G7:G14)</f>
        <v>17200000</v>
      </c>
      <c r="H15" s="56" t="n">
        <f aca="false">SUM(H7:H14)</f>
        <v>17200000</v>
      </c>
      <c r="I15" s="56" t="n">
        <f aca="false">SUM(I7:I14)</f>
        <v>17200000</v>
      </c>
      <c r="J15" s="56" t="n">
        <f aca="false">SUM(J7:J14)</f>
        <v>17200000</v>
      </c>
      <c r="K15" s="56" t="n">
        <f aca="false">SUM(K7:K14)</f>
        <v>17200000</v>
      </c>
      <c r="L15" s="56" t="n">
        <f aca="false">SUM(L7:L14)</f>
        <v>17200000</v>
      </c>
      <c r="M15" s="56" t="n">
        <f aca="false">SUM(M7:M14)</f>
        <v>17200000</v>
      </c>
      <c r="N15" s="56" t="n">
        <f aca="false">SUM(N7:N14)</f>
        <v>17200000</v>
      </c>
      <c r="O15" s="56" t="n">
        <f aca="false">SUM(C15:N15)</f>
        <v>206400000</v>
      </c>
    </row>
    <row r="16" customFormat="false" ht="15" hidden="false" customHeight="false" outlineLevel="0" collapsed="false">
      <c r="A16" s="57" t="s">
        <v>165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</row>
    <row r="17" customFormat="false" ht="15" hidden="false" customHeight="false" outlineLevel="0" collapsed="false">
      <c r="A17" s="3" t="s">
        <v>166</v>
      </c>
      <c r="B17" s="51" t="s">
        <v>11</v>
      </c>
      <c r="C17" s="52" t="n">
        <v>1800000</v>
      </c>
      <c r="D17" s="52" t="n">
        <v>1800000</v>
      </c>
      <c r="E17" s="52" t="n">
        <v>1800000</v>
      </c>
      <c r="F17" s="52" t="n">
        <v>1800000</v>
      </c>
      <c r="G17" s="52" t="n">
        <v>1800000</v>
      </c>
      <c r="H17" s="52" t="n">
        <v>1800000</v>
      </c>
      <c r="I17" s="52" t="n">
        <v>1800000</v>
      </c>
      <c r="J17" s="52" t="n">
        <v>1800000</v>
      </c>
      <c r="K17" s="52" t="n">
        <v>1800000</v>
      </c>
      <c r="L17" s="52" t="n">
        <v>1800000</v>
      </c>
      <c r="M17" s="52" t="n">
        <v>1800000</v>
      </c>
      <c r="N17" s="52" t="n">
        <v>1800000</v>
      </c>
      <c r="O17" s="53" t="n">
        <f aca="false">SUM(C17:N17)</f>
        <v>21600000</v>
      </c>
    </row>
    <row r="18" customFormat="false" ht="15" hidden="false" customHeight="false" outlineLevel="0" collapsed="false">
      <c r="A18" s="3" t="s">
        <v>167</v>
      </c>
      <c r="B18" s="51" t="s">
        <v>11</v>
      </c>
      <c r="C18" s="52" t="n">
        <v>1200000</v>
      </c>
      <c r="D18" s="52" t="n">
        <v>1200000</v>
      </c>
      <c r="E18" s="52" t="n">
        <v>1200000</v>
      </c>
      <c r="F18" s="52" t="n">
        <v>1200000</v>
      </c>
      <c r="G18" s="52" t="n">
        <v>1200000</v>
      </c>
      <c r="H18" s="52" t="n">
        <v>1200000</v>
      </c>
      <c r="I18" s="52" t="n">
        <v>1200000</v>
      </c>
      <c r="J18" s="52" t="n">
        <v>1200000</v>
      </c>
      <c r="K18" s="52" t="n">
        <v>1200000</v>
      </c>
      <c r="L18" s="52" t="n">
        <v>1200000</v>
      </c>
      <c r="M18" s="52" t="n">
        <v>1200000</v>
      </c>
      <c r="N18" s="52" t="n">
        <v>1200000</v>
      </c>
      <c r="O18" s="53" t="n">
        <f aca="false">SUM(C18:N18)</f>
        <v>14400000</v>
      </c>
    </row>
    <row r="19" customFormat="false" ht="15" hidden="false" customHeight="false" outlineLevel="0" collapsed="false">
      <c r="A19" s="3" t="s">
        <v>168</v>
      </c>
      <c r="B19" s="51" t="s">
        <v>11</v>
      </c>
      <c r="C19" s="52" t="n">
        <v>1600000</v>
      </c>
      <c r="D19" s="52" t="n">
        <v>1600000</v>
      </c>
      <c r="E19" s="52" t="n">
        <v>1600000</v>
      </c>
      <c r="F19" s="52" t="n">
        <v>1600000</v>
      </c>
      <c r="G19" s="52" t="n">
        <v>1600000</v>
      </c>
      <c r="H19" s="52" t="n">
        <v>1600000</v>
      </c>
      <c r="I19" s="52" t="n">
        <v>1600000</v>
      </c>
      <c r="J19" s="52" t="n">
        <v>1600000</v>
      </c>
      <c r="K19" s="52" t="n">
        <v>1600000</v>
      </c>
      <c r="L19" s="52" t="n">
        <v>1600000</v>
      </c>
      <c r="M19" s="52" t="n">
        <v>1600000</v>
      </c>
      <c r="N19" s="52" t="n">
        <v>1600000</v>
      </c>
      <c r="O19" s="53" t="n">
        <f aca="false">SUM(C19:N19)</f>
        <v>19200000</v>
      </c>
    </row>
    <row r="20" customFormat="false" ht="15" hidden="false" customHeight="false" outlineLevel="0" collapsed="false">
      <c r="A20" s="3" t="s">
        <v>169</v>
      </c>
      <c r="B20" s="51" t="s">
        <v>11</v>
      </c>
      <c r="C20" s="52" t="n">
        <v>400000</v>
      </c>
      <c r="D20" s="52" t="n">
        <v>400000</v>
      </c>
      <c r="E20" s="52" t="n">
        <v>400000</v>
      </c>
      <c r="F20" s="52" t="n">
        <v>400000</v>
      </c>
      <c r="G20" s="52" t="n">
        <v>400000</v>
      </c>
      <c r="H20" s="52" t="n">
        <v>400000</v>
      </c>
      <c r="I20" s="52" t="n">
        <v>400000</v>
      </c>
      <c r="J20" s="52" t="n">
        <v>400000</v>
      </c>
      <c r="K20" s="52" t="n">
        <v>400000</v>
      </c>
      <c r="L20" s="52" t="n">
        <v>400000</v>
      </c>
      <c r="M20" s="52" t="n">
        <v>400000</v>
      </c>
      <c r="N20" s="52" t="n">
        <v>400000</v>
      </c>
      <c r="O20" s="53" t="n">
        <f aca="false">SUM(C20:N20)</f>
        <v>4800000</v>
      </c>
    </row>
    <row r="21" customFormat="false" ht="15" hidden="false" customHeight="false" outlineLevel="0" collapsed="false">
      <c r="A21" s="3" t="s">
        <v>170</v>
      </c>
      <c r="B21" s="51" t="s">
        <v>19</v>
      </c>
      <c r="C21" s="52" t="n">
        <v>400000</v>
      </c>
      <c r="D21" s="52" t="n">
        <v>400000</v>
      </c>
      <c r="E21" s="52" t="n">
        <v>400000</v>
      </c>
      <c r="F21" s="52" t="n">
        <v>400000</v>
      </c>
      <c r="G21" s="52" t="n">
        <v>400000</v>
      </c>
      <c r="H21" s="52" t="n">
        <v>400000</v>
      </c>
      <c r="I21" s="52" t="n">
        <v>400000</v>
      </c>
      <c r="J21" s="52" t="n">
        <v>400000</v>
      </c>
      <c r="K21" s="52" t="n">
        <v>400000</v>
      </c>
      <c r="L21" s="52" t="n">
        <v>400000</v>
      </c>
      <c r="M21" s="52" t="n">
        <v>400000</v>
      </c>
      <c r="N21" s="52" t="n">
        <v>400000</v>
      </c>
      <c r="O21" s="53" t="n">
        <f aca="false">SUM(C21:N21)</f>
        <v>4800000</v>
      </c>
    </row>
    <row r="22" customFormat="false" ht="15" hidden="false" customHeight="false" outlineLevel="0" collapsed="false">
      <c r="A22" s="3" t="s">
        <v>171</v>
      </c>
      <c r="B22" s="51" t="s">
        <v>19</v>
      </c>
      <c r="C22" s="52" t="n">
        <v>300000</v>
      </c>
      <c r="D22" s="52" t="n">
        <v>300000</v>
      </c>
      <c r="E22" s="52" t="n">
        <v>300000</v>
      </c>
      <c r="F22" s="52" t="n">
        <v>300000</v>
      </c>
      <c r="G22" s="52" t="n">
        <v>300000</v>
      </c>
      <c r="H22" s="52" t="n">
        <v>300000</v>
      </c>
      <c r="I22" s="52" t="n">
        <v>300000</v>
      </c>
      <c r="J22" s="52" t="n">
        <v>300000</v>
      </c>
      <c r="K22" s="52" t="n">
        <v>300000</v>
      </c>
      <c r="L22" s="52" t="n">
        <v>300000</v>
      </c>
      <c r="M22" s="52" t="n">
        <v>300000</v>
      </c>
      <c r="N22" s="52" t="n">
        <v>300000</v>
      </c>
      <c r="O22" s="53" t="n">
        <f aca="false">SUM(C22:N22)</f>
        <v>3600000</v>
      </c>
    </row>
    <row r="23" customFormat="false" ht="15" hidden="false" customHeight="false" outlineLevel="0" collapsed="false">
      <c r="A23" s="3" t="s">
        <v>172</v>
      </c>
      <c r="B23" s="51" t="s">
        <v>11</v>
      </c>
      <c r="C23" s="52" t="n">
        <v>1200000</v>
      </c>
      <c r="D23" s="52" t="n">
        <v>1200000</v>
      </c>
      <c r="E23" s="52" t="n">
        <v>1200000</v>
      </c>
      <c r="F23" s="52" t="n">
        <v>1200000</v>
      </c>
      <c r="G23" s="52" t="n">
        <v>1200000</v>
      </c>
      <c r="H23" s="52" t="n">
        <v>1200000</v>
      </c>
      <c r="I23" s="52" t="n">
        <v>1200000</v>
      </c>
      <c r="J23" s="52" t="n">
        <v>1200000</v>
      </c>
      <c r="K23" s="52" t="n">
        <v>1200000</v>
      </c>
      <c r="L23" s="52" t="n">
        <v>1200000</v>
      </c>
      <c r="M23" s="52" t="n">
        <v>1200000</v>
      </c>
      <c r="N23" s="52" t="n">
        <v>1200000</v>
      </c>
      <c r="O23" s="53" t="n">
        <f aca="false">SUM(C23:N23)</f>
        <v>14400000</v>
      </c>
    </row>
    <row r="24" customFormat="false" ht="15" hidden="false" customHeight="false" outlineLevel="0" collapsed="false">
      <c r="A24" s="3" t="s">
        <v>173</v>
      </c>
      <c r="B24" s="51" t="s">
        <v>11</v>
      </c>
      <c r="C24" s="52" t="n">
        <v>350000</v>
      </c>
      <c r="D24" s="52" t="n">
        <v>350000</v>
      </c>
      <c r="E24" s="52" t="n">
        <v>350000</v>
      </c>
      <c r="F24" s="52" t="n">
        <v>350000</v>
      </c>
      <c r="G24" s="52" t="n">
        <v>350000</v>
      </c>
      <c r="H24" s="52" t="n">
        <v>350000</v>
      </c>
      <c r="I24" s="52" t="n">
        <v>350000</v>
      </c>
      <c r="J24" s="52" t="n">
        <v>350000</v>
      </c>
      <c r="K24" s="52" t="n">
        <v>350000</v>
      </c>
      <c r="L24" s="52" t="n">
        <v>350000</v>
      </c>
      <c r="M24" s="52" t="n">
        <v>350000</v>
      </c>
      <c r="N24" s="52" t="n">
        <v>350000</v>
      </c>
      <c r="O24" s="53" t="n">
        <f aca="false">SUM(C24:N24)</f>
        <v>4200000</v>
      </c>
    </row>
    <row r="25" customFormat="false" ht="15" hidden="false" customHeight="false" outlineLevel="0" collapsed="false">
      <c r="A25" s="3" t="s">
        <v>163</v>
      </c>
      <c r="B25" s="51"/>
      <c r="C25" s="52" t="n">
        <v>0</v>
      </c>
      <c r="D25" s="52" t="n">
        <v>0</v>
      </c>
      <c r="E25" s="52" t="n">
        <v>0</v>
      </c>
      <c r="F25" s="52" t="n">
        <v>0</v>
      </c>
      <c r="G25" s="52" t="n">
        <v>0</v>
      </c>
      <c r="H25" s="52" t="n">
        <v>0</v>
      </c>
      <c r="I25" s="52" t="n">
        <v>0</v>
      </c>
      <c r="J25" s="52" t="n">
        <v>0</v>
      </c>
      <c r="K25" s="52" t="n">
        <v>0</v>
      </c>
      <c r="L25" s="52" t="n">
        <v>0</v>
      </c>
      <c r="M25" s="52" t="n">
        <v>0</v>
      </c>
      <c r="N25" s="52" t="n">
        <v>0</v>
      </c>
      <c r="O25" s="53" t="n">
        <f aca="false">SUM(C25:N25)</f>
        <v>0</v>
      </c>
    </row>
    <row r="26" customFormat="false" ht="15" hidden="false" customHeight="false" outlineLevel="0" collapsed="false">
      <c r="A26" s="42" t="s">
        <v>174</v>
      </c>
      <c r="B26" s="58"/>
      <c r="C26" s="59" t="n">
        <f aca="false">SUM(C17:C25)</f>
        <v>7250000</v>
      </c>
      <c r="D26" s="59" t="n">
        <f aca="false">SUM(D17:D25)</f>
        <v>7250000</v>
      </c>
      <c r="E26" s="59" t="n">
        <f aca="false">SUM(E17:E25)</f>
        <v>7250000</v>
      </c>
      <c r="F26" s="59" t="n">
        <f aca="false">SUM(F17:F25)</f>
        <v>7250000</v>
      </c>
      <c r="G26" s="59" t="n">
        <f aca="false">SUM(G17:G25)</f>
        <v>7250000</v>
      </c>
      <c r="H26" s="59" t="n">
        <f aca="false">SUM(H17:H25)</f>
        <v>7250000</v>
      </c>
      <c r="I26" s="59" t="n">
        <f aca="false">SUM(I17:I25)</f>
        <v>7250000</v>
      </c>
      <c r="J26" s="59" t="n">
        <f aca="false">SUM(J17:J25)</f>
        <v>7250000</v>
      </c>
      <c r="K26" s="59" t="n">
        <f aca="false">SUM(K17:K25)</f>
        <v>7250000</v>
      </c>
      <c r="L26" s="59" t="n">
        <f aca="false">SUM(L17:L25)</f>
        <v>7250000</v>
      </c>
      <c r="M26" s="59" t="n">
        <f aca="false">SUM(M17:M25)</f>
        <v>7250000</v>
      </c>
      <c r="N26" s="59" t="n">
        <f aca="false">SUM(N17:N25)</f>
        <v>7250000</v>
      </c>
      <c r="O26" s="60" t="n">
        <f aca="false">SUM(C26:N26)</f>
        <v>87000000</v>
      </c>
    </row>
    <row r="27" customFormat="false" ht="15" hidden="false" customHeight="false" outlineLevel="0" collapsed="false">
      <c r="A27" s="57" t="s">
        <v>175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</row>
    <row r="28" customFormat="false" ht="15" hidden="false" customHeight="false" outlineLevel="0" collapsed="false">
      <c r="A28" s="3" t="s">
        <v>176</v>
      </c>
      <c r="B28" s="51" t="s">
        <v>11</v>
      </c>
      <c r="C28" s="52" t="n">
        <v>200000</v>
      </c>
      <c r="D28" s="52" t="n">
        <v>200000</v>
      </c>
      <c r="E28" s="52" t="n">
        <v>200000</v>
      </c>
      <c r="F28" s="52" t="n">
        <v>200000</v>
      </c>
      <c r="G28" s="52" t="n">
        <v>200000</v>
      </c>
      <c r="H28" s="52" t="n">
        <v>200000</v>
      </c>
      <c r="I28" s="52" t="n">
        <v>200000</v>
      </c>
      <c r="J28" s="52" t="n">
        <v>200000</v>
      </c>
      <c r="K28" s="52" t="n">
        <v>200000</v>
      </c>
      <c r="L28" s="52" t="n">
        <v>200000</v>
      </c>
      <c r="M28" s="52" t="n">
        <v>200000</v>
      </c>
      <c r="N28" s="52" t="n">
        <v>200000</v>
      </c>
      <c r="O28" s="53" t="n">
        <f aca="false">SUM(C28:N28)</f>
        <v>2400000</v>
      </c>
    </row>
    <row r="29" customFormat="false" ht="15" hidden="false" customHeight="false" outlineLevel="0" collapsed="false">
      <c r="A29" s="3" t="s">
        <v>177</v>
      </c>
      <c r="B29" s="51" t="s">
        <v>19</v>
      </c>
      <c r="C29" s="52" t="n">
        <v>150000</v>
      </c>
      <c r="D29" s="52" t="n">
        <v>150000</v>
      </c>
      <c r="E29" s="52" t="n">
        <v>150000</v>
      </c>
      <c r="F29" s="52" t="n">
        <v>150000</v>
      </c>
      <c r="G29" s="52" t="n">
        <v>150000</v>
      </c>
      <c r="H29" s="52" t="n">
        <v>150000</v>
      </c>
      <c r="I29" s="52" t="n">
        <v>150000</v>
      </c>
      <c r="J29" s="52" t="n">
        <v>150000</v>
      </c>
      <c r="K29" s="52" t="n">
        <v>150000</v>
      </c>
      <c r="L29" s="52" t="n">
        <v>150000</v>
      </c>
      <c r="M29" s="52" t="n">
        <v>150000</v>
      </c>
      <c r="N29" s="52" t="n">
        <v>150000</v>
      </c>
      <c r="O29" s="53" t="n">
        <f aca="false">SUM(C29:N29)</f>
        <v>1800000</v>
      </c>
    </row>
    <row r="30" customFormat="false" ht="15" hidden="false" customHeight="false" outlineLevel="0" collapsed="false">
      <c r="A30" s="3" t="s">
        <v>178</v>
      </c>
      <c r="B30" s="51" t="s">
        <v>11</v>
      </c>
      <c r="C30" s="52" t="n">
        <v>391000</v>
      </c>
      <c r="D30" s="52" t="n">
        <v>391000</v>
      </c>
      <c r="E30" s="52" t="n">
        <v>391000</v>
      </c>
      <c r="F30" s="52" t="n">
        <v>391000</v>
      </c>
      <c r="G30" s="52" t="n">
        <v>391000</v>
      </c>
      <c r="H30" s="52" t="n">
        <v>391000</v>
      </c>
      <c r="I30" s="52" t="n">
        <v>391000</v>
      </c>
      <c r="J30" s="52" t="n">
        <v>391000</v>
      </c>
      <c r="K30" s="52" t="n">
        <v>391000</v>
      </c>
      <c r="L30" s="52" t="n">
        <v>391000</v>
      </c>
      <c r="M30" s="52" t="n">
        <v>391000</v>
      </c>
      <c r="N30" s="52" t="n">
        <v>391000</v>
      </c>
      <c r="O30" s="53" t="n">
        <f aca="false">SUM(C30:N30)</f>
        <v>4692000</v>
      </c>
    </row>
    <row r="31" customFormat="false" ht="15" hidden="false" customHeight="false" outlineLevel="0" collapsed="false">
      <c r="A31" s="3" t="s">
        <v>179</v>
      </c>
      <c r="B31" s="51" t="s">
        <v>11</v>
      </c>
      <c r="C31" s="52" t="n">
        <v>2000000</v>
      </c>
      <c r="D31" s="52" t="n">
        <v>2000000</v>
      </c>
      <c r="E31" s="52" t="n">
        <v>2000000</v>
      </c>
      <c r="F31" s="52" t="n">
        <v>2000000</v>
      </c>
      <c r="G31" s="52" t="n">
        <v>2000000</v>
      </c>
      <c r="H31" s="52" t="n">
        <v>2000000</v>
      </c>
      <c r="I31" s="52" t="n">
        <v>2000000</v>
      </c>
      <c r="J31" s="52" t="n">
        <v>2000000</v>
      </c>
      <c r="K31" s="52" t="n">
        <v>2000000</v>
      </c>
      <c r="L31" s="52" t="n">
        <v>2000000</v>
      </c>
      <c r="M31" s="52" t="n">
        <v>2000000</v>
      </c>
      <c r="N31" s="52" t="n">
        <v>2000000</v>
      </c>
      <c r="O31" s="53" t="n">
        <f aca="false">SUM(C31:N31)</f>
        <v>24000000</v>
      </c>
    </row>
    <row r="32" customFormat="false" ht="15" hidden="false" customHeight="false" outlineLevel="0" collapsed="false">
      <c r="A32" s="3" t="s">
        <v>180</v>
      </c>
      <c r="B32" s="51" t="s">
        <v>11</v>
      </c>
      <c r="C32" s="52" t="n">
        <v>800000</v>
      </c>
      <c r="D32" s="52" t="n">
        <v>800000</v>
      </c>
      <c r="E32" s="52" t="n">
        <v>800000</v>
      </c>
      <c r="F32" s="52" t="n">
        <v>800000</v>
      </c>
      <c r="G32" s="52" t="n">
        <v>800000</v>
      </c>
      <c r="H32" s="52" t="n">
        <v>800000</v>
      </c>
      <c r="I32" s="52" t="n">
        <v>800000</v>
      </c>
      <c r="J32" s="52" t="n">
        <v>800000</v>
      </c>
      <c r="K32" s="52" t="n">
        <v>800000</v>
      </c>
      <c r="L32" s="52" t="n">
        <v>800000</v>
      </c>
      <c r="M32" s="52" t="n">
        <v>800000</v>
      </c>
      <c r="N32" s="52" t="n">
        <v>800000</v>
      </c>
      <c r="O32" s="53" t="n">
        <f aca="false">SUM(C32:N32)</f>
        <v>9600000</v>
      </c>
    </row>
    <row r="33" customFormat="false" ht="15" hidden="false" customHeight="false" outlineLevel="0" collapsed="false">
      <c r="A33" s="3" t="s">
        <v>181</v>
      </c>
      <c r="B33" s="51" t="s">
        <v>11</v>
      </c>
      <c r="C33" s="52" t="n">
        <v>500000</v>
      </c>
      <c r="D33" s="52" t="n">
        <v>500000</v>
      </c>
      <c r="E33" s="52" t="n">
        <v>500000</v>
      </c>
      <c r="F33" s="52" t="n">
        <v>500000</v>
      </c>
      <c r="G33" s="52" t="n">
        <v>500000</v>
      </c>
      <c r="H33" s="52" t="n">
        <v>500000</v>
      </c>
      <c r="I33" s="52" t="n">
        <v>500000</v>
      </c>
      <c r="J33" s="52" t="n">
        <v>500000</v>
      </c>
      <c r="K33" s="52" t="n">
        <v>500000</v>
      </c>
      <c r="L33" s="52" t="n">
        <v>500000</v>
      </c>
      <c r="M33" s="52" t="n">
        <v>500000</v>
      </c>
      <c r="N33" s="52" t="n">
        <v>500000</v>
      </c>
      <c r="O33" s="53" t="n">
        <f aca="false">SUM(C33:N33)</f>
        <v>6000000</v>
      </c>
    </row>
    <row r="34" customFormat="false" ht="15" hidden="false" customHeight="false" outlineLevel="0" collapsed="false">
      <c r="A34" s="3" t="s">
        <v>182</v>
      </c>
      <c r="B34" s="51" t="s">
        <v>11</v>
      </c>
      <c r="C34" s="52" t="n">
        <v>850000</v>
      </c>
      <c r="D34" s="52" t="n">
        <v>850000</v>
      </c>
      <c r="E34" s="52" t="n">
        <v>850000</v>
      </c>
      <c r="F34" s="52" t="n">
        <v>850000</v>
      </c>
      <c r="G34" s="52" t="n">
        <v>850000</v>
      </c>
      <c r="H34" s="52" t="n">
        <v>850000</v>
      </c>
      <c r="I34" s="52" t="n">
        <v>850000</v>
      </c>
      <c r="J34" s="52" t="n">
        <v>850000</v>
      </c>
      <c r="K34" s="52" t="n">
        <v>850000</v>
      </c>
      <c r="L34" s="52" t="n">
        <v>850000</v>
      </c>
      <c r="M34" s="52" t="n">
        <v>850000</v>
      </c>
      <c r="N34" s="52" t="n">
        <v>850000</v>
      </c>
      <c r="O34" s="53" t="n">
        <f aca="false">SUM(C34:N34)</f>
        <v>10200000</v>
      </c>
    </row>
    <row r="35" customFormat="false" ht="15" hidden="false" customHeight="false" outlineLevel="0" collapsed="false">
      <c r="A35" s="3" t="s">
        <v>183</v>
      </c>
      <c r="B35" s="51" t="s">
        <v>11</v>
      </c>
      <c r="C35" s="52" t="n">
        <v>650000</v>
      </c>
      <c r="D35" s="52" t="n">
        <v>650000</v>
      </c>
      <c r="E35" s="52" t="n">
        <v>650000</v>
      </c>
      <c r="F35" s="52" t="n">
        <v>650000</v>
      </c>
      <c r="G35" s="52" t="n">
        <v>650000</v>
      </c>
      <c r="H35" s="52" t="n">
        <v>650000</v>
      </c>
      <c r="I35" s="52" t="n">
        <v>650000</v>
      </c>
      <c r="J35" s="52" t="n">
        <v>650000</v>
      </c>
      <c r="K35" s="52" t="n">
        <v>650000</v>
      </c>
      <c r="L35" s="52" t="n">
        <v>650000</v>
      </c>
      <c r="M35" s="52" t="n">
        <v>650000</v>
      </c>
      <c r="N35" s="52" t="n">
        <v>650000</v>
      </c>
      <c r="O35" s="53" t="n">
        <f aca="false">SUM(C35:N35)</f>
        <v>7800000</v>
      </c>
    </row>
    <row r="36" customFormat="false" ht="15" hidden="false" customHeight="false" outlineLevel="0" collapsed="false">
      <c r="A36" s="3" t="s">
        <v>163</v>
      </c>
      <c r="B36" s="51"/>
      <c r="C36" s="52" t="n">
        <v>0</v>
      </c>
      <c r="D36" s="52" t="n">
        <v>0</v>
      </c>
      <c r="E36" s="52" t="n">
        <v>0</v>
      </c>
      <c r="F36" s="52" t="n">
        <v>0</v>
      </c>
      <c r="G36" s="52" t="n">
        <v>0</v>
      </c>
      <c r="H36" s="52" t="n">
        <v>0</v>
      </c>
      <c r="I36" s="52" t="n">
        <v>0</v>
      </c>
      <c r="J36" s="52" t="n">
        <v>0</v>
      </c>
      <c r="K36" s="52" t="n">
        <v>0</v>
      </c>
      <c r="L36" s="52" t="n">
        <v>0</v>
      </c>
      <c r="M36" s="52" t="n">
        <v>0</v>
      </c>
      <c r="N36" s="52" t="n">
        <v>0</v>
      </c>
      <c r="O36" s="53" t="n">
        <f aca="false">SUM(C36:N36)</f>
        <v>0</v>
      </c>
    </row>
    <row r="37" customFormat="false" ht="15" hidden="false" customHeight="false" outlineLevel="0" collapsed="false">
      <c r="A37" s="42" t="s">
        <v>184</v>
      </c>
      <c r="B37" s="58"/>
      <c r="C37" s="59" t="n">
        <f aca="false">SUM(C28:C36)</f>
        <v>5541000</v>
      </c>
      <c r="D37" s="59" t="n">
        <f aca="false">SUM(D28:D36)</f>
        <v>5541000</v>
      </c>
      <c r="E37" s="59" t="n">
        <f aca="false">SUM(E28:E36)</f>
        <v>5541000</v>
      </c>
      <c r="F37" s="59" t="n">
        <f aca="false">SUM(F28:F36)</f>
        <v>5541000</v>
      </c>
      <c r="G37" s="59" t="n">
        <f aca="false">SUM(G28:G36)</f>
        <v>5541000</v>
      </c>
      <c r="H37" s="59" t="n">
        <f aca="false">SUM(H28:H36)</f>
        <v>5541000</v>
      </c>
      <c r="I37" s="59" t="n">
        <f aca="false">SUM(I28:I36)</f>
        <v>5541000</v>
      </c>
      <c r="J37" s="59" t="n">
        <f aca="false">SUM(J28:J36)</f>
        <v>5541000</v>
      </c>
      <c r="K37" s="59" t="n">
        <f aca="false">SUM(K28:K36)</f>
        <v>5541000</v>
      </c>
      <c r="L37" s="59" t="n">
        <f aca="false">SUM(L28:L36)</f>
        <v>5541000</v>
      </c>
      <c r="M37" s="59" t="n">
        <f aca="false">SUM(M28:M36)</f>
        <v>5541000</v>
      </c>
      <c r="N37" s="59" t="n">
        <f aca="false">SUM(N28:N36)</f>
        <v>5541000</v>
      </c>
      <c r="O37" s="60" t="n">
        <f aca="false">SUM(C37:N37)</f>
        <v>66492000</v>
      </c>
    </row>
    <row r="38" customFormat="false" ht="15" hidden="false" customHeight="false" outlineLevel="0" collapsed="false">
      <c r="A38" s="57" t="s">
        <v>185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</row>
    <row r="39" customFormat="false" ht="15" hidden="false" customHeight="false" outlineLevel="0" collapsed="false">
      <c r="A39" s="3" t="s">
        <v>186</v>
      </c>
      <c r="B39" s="3" t="s">
        <v>11</v>
      </c>
      <c r="C39" s="52" t="n">
        <v>250000</v>
      </c>
      <c r="D39" s="52" t="n">
        <v>250000</v>
      </c>
      <c r="E39" s="52" t="n">
        <v>250000</v>
      </c>
      <c r="F39" s="52" t="n">
        <v>250000</v>
      </c>
      <c r="G39" s="52" t="n">
        <v>250000</v>
      </c>
      <c r="H39" s="52" t="n">
        <v>250000</v>
      </c>
      <c r="I39" s="52" t="n">
        <v>250000</v>
      </c>
      <c r="J39" s="52" t="n">
        <v>250000</v>
      </c>
      <c r="K39" s="52" t="n">
        <v>250000</v>
      </c>
      <c r="L39" s="52" t="n">
        <v>250000</v>
      </c>
      <c r="M39" s="52" t="n">
        <v>250000</v>
      </c>
      <c r="N39" s="52" t="n">
        <v>250000</v>
      </c>
      <c r="O39" s="53" t="n">
        <f aca="false">SUM(C39:N39)</f>
        <v>3000000</v>
      </c>
    </row>
    <row r="40" customFormat="false" ht="15" hidden="false" customHeight="false" outlineLevel="0" collapsed="false">
      <c r="A40" s="3" t="s">
        <v>187</v>
      </c>
      <c r="B40" s="3" t="s">
        <v>11</v>
      </c>
      <c r="C40" s="52" t="n">
        <v>320000</v>
      </c>
      <c r="D40" s="52" t="n">
        <v>320000</v>
      </c>
      <c r="E40" s="52" t="n">
        <v>320000</v>
      </c>
      <c r="F40" s="52" t="n">
        <v>320000</v>
      </c>
      <c r="G40" s="52" t="n">
        <v>320000</v>
      </c>
      <c r="H40" s="52" t="n">
        <v>320000</v>
      </c>
      <c r="I40" s="52" t="n">
        <v>320000</v>
      </c>
      <c r="J40" s="52" t="n">
        <v>320000</v>
      </c>
      <c r="K40" s="52" t="n">
        <v>320000</v>
      </c>
      <c r="L40" s="52" t="n">
        <v>320000</v>
      </c>
      <c r="M40" s="52" t="n">
        <v>320000</v>
      </c>
      <c r="N40" s="52" t="n">
        <v>320000</v>
      </c>
      <c r="O40" s="53" t="n">
        <f aca="false">SUM(C40:N40)</f>
        <v>3840000</v>
      </c>
    </row>
    <row r="41" customFormat="false" ht="15" hidden="false" customHeight="false" outlineLevel="0" collapsed="false">
      <c r="A41" s="3" t="s">
        <v>163</v>
      </c>
      <c r="B41" s="3"/>
      <c r="C41" s="52" t="n">
        <v>0</v>
      </c>
      <c r="D41" s="52" t="n">
        <v>0</v>
      </c>
      <c r="E41" s="52" t="n">
        <v>0</v>
      </c>
      <c r="F41" s="52" t="n">
        <v>0</v>
      </c>
      <c r="G41" s="52" t="n">
        <v>0</v>
      </c>
      <c r="H41" s="52" t="n">
        <v>0</v>
      </c>
      <c r="I41" s="52" t="n">
        <v>0</v>
      </c>
      <c r="J41" s="52" t="n">
        <v>0</v>
      </c>
      <c r="K41" s="52" t="n">
        <v>0</v>
      </c>
      <c r="L41" s="52" t="n">
        <v>0</v>
      </c>
      <c r="M41" s="52" t="n">
        <v>0</v>
      </c>
      <c r="N41" s="52" t="n">
        <v>0</v>
      </c>
      <c r="O41" s="53" t="n">
        <f aca="false">SUM(C41:N41)</f>
        <v>0</v>
      </c>
    </row>
    <row r="42" customFormat="false" ht="15" hidden="false" customHeight="false" outlineLevel="0" collapsed="false">
      <c r="A42" s="42" t="s">
        <v>188</v>
      </c>
      <c r="B42" s="58"/>
      <c r="C42" s="59" t="n">
        <f aca="false">SUM(C39:C41)</f>
        <v>570000</v>
      </c>
      <c r="D42" s="59" t="n">
        <f aca="false">SUM(D39:D41)</f>
        <v>570000</v>
      </c>
      <c r="E42" s="59" t="n">
        <f aca="false">SUM(E39:E41)</f>
        <v>570000</v>
      </c>
      <c r="F42" s="59" t="n">
        <f aca="false">SUM(F39:F41)</f>
        <v>570000</v>
      </c>
      <c r="G42" s="59" t="n">
        <f aca="false">SUM(G39:G41)</f>
        <v>570000</v>
      </c>
      <c r="H42" s="59" t="n">
        <f aca="false">SUM(H39:H41)</f>
        <v>570000</v>
      </c>
      <c r="I42" s="59" t="n">
        <f aca="false">SUM(I39:I41)</f>
        <v>570000</v>
      </c>
      <c r="J42" s="59" t="n">
        <f aca="false">SUM(J39:J41)</f>
        <v>570000</v>
      </c>
      <c r="K42" s="59" t="n">
        <f aca="false">SUM(K39:K41)</f>
        <v>570000</v>
      </c>
      <c r="L42" s="59" t="n">
        <f aca="false">SUM(L39:L41)</f>
        <v>570000</v>
      </c>
      <c r="M42" s="59" t="n">
        <f aca="false">SUM(M39:M41)</f>
        <v>570000</v>
      </c>
      <c r="N42" s="59" t="n">
        <f aca="false">SUM(N39:N41)</f>
        <v>570000</v>
      </c>
      <c r="O42" s="60" t="n">
        <f aca="false">SUM(C42:N42)</f>
        <v>6840000</v>
      </c>
    </row>
    <row r="43" customFormat="false" ht="15" hidden="false" customHeight="false" outlineLevel="0" collapsed="false">
      <c r="A43" s="57" t="s">
        <v>189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</row>
    <row r="44" customFormat="false" ht="15" hidden="false" customHeight="false" outlineLevel="0" collapsed="false">
      <c r="A44" s="3" t="s">
        <v>190</v>
      </c>
      <c r="B44" s="3" t="s">
        <v>36</v>
      </c>
      <c r="C44" s="52" t="n">
        <v>800000</v>
      </c>
      <c r="D44" s="52" t="n">
        <v>800000</v>
      </c>
      <c r="E44" s="52" t="n">
        <v>800000</v>
      </c>
      <c r="F44" s="52" t="n">
        <v>800000</v>
      </c>
      <c r="G44" s="52" t="n">
        <v>800000</v>
      </c>
      <c r="H44" s="52" t="n">
        <v>800000</v>
      </c>
      <c r="I44" s="52" t="n">
        <v>800000</v>
      </c>
      <c r="J44" s="52" t="n">
        <v>800000</v>
      </c>
      <c r="K44" s="52" t="n">
        <v>800000</v>
      </c>
      <c r="L44" s="52" t="n">
        <v>800000</v>
      </c>
      <c r="M44" s="52" t="n">
        <v>800000</v>
      </c>
      <c r="N44" s="52" t="n">
        <v>800000</v>
      </c>
      <c r="O44" s="53" t="n">
        <f aca="false">SUM(C44:N44)</f>
        <v>9600000</v>
      </c>
    </row>
    <row r="45" customFormat="false" ht="15" hidden="false" customHeight="false" outlineLevel="0" collapsed="false">
      <c r="A45" s="3" t="s">
        <v>191</v>
      </c>
      <c r="B45" s="3" t="s">
        <v>36</v>
      </c>
      <c r="C45" s="52" t="n">
        <v>600000</v>
      </c>
      <c r="D45" s="52" t="n">
        <v>600000</v>
      </c>
      <c r="E45" s="52" t="n">
        <v>600000</v>
      </c>
      <c r="F45" s="52" t="n">
        <v>600000</v>
      </c>
      <c r="G45" s="52" t="n">
        <v>600000</v>
      </c>
      <c r="H45" s="52" t="n">
        <v>600000</v>
      </c>
      <c r="I45" s="52" t="n">
        <v>600000</v>
      </c>
      <c r="J45" s="52" t="n">
        <v>600000</v>
      </c>
      <c r="K45" s="52" t="n">
        <v>600000</v>
      </c>
      <c r="L45" s="52" t="n">
        <v>600000</v>
      </c>
      <c r="M45" s="52" t="n">
        <v>600000</v>
      </c>
      <c r="N45" s="52" t="n">
        <v>600000</v>
      </c>
      <c r="O45" s="53" t="n">
        <f aca="false">SUM(C45:N45)</f>
        <v>7200000</v>
      </c>
    </row>
    <row r="46" customFormat="false" ht="15" hidden="false" customHeight="false" outlineLevel="0" collapsed="false">
      <c r="A46" s="3" t="s">
        <v>192</v>
      </c>
      <c r="B46" s="3" t="s">
        <v>36</v>
      </c>
      <c r="C46" s="52" t="n">
        <v>300000</v>
      </c>
      <c r="D46" s="52" t="n">
        <v>300000</v>
      </c>
      <c r="E46" s="52" t="n">
        <v>300000</v>
      </c>
      <c r="F46" s="52" t="n">
        <v>300000</v>
      </c>
      <c r="G46" s="52" t="n">
        <v>300000</v>
      </c>
      <c r="H46" s="52" t="n">
        <v>300000</v>
      </c>
      <c r="I46" s="52" t="n">
        <v>300000</v>
      </c>
      <c r="J46" s="52" t="n">
        <v>300000</v>
      </c>
      <c r="K46" s="52" t="n">
        <v>300000</v>
      </c>
      <c r="L46" s="52" t="n">
        <v>300000</v>
      </c>
      <c r="M46" s="52" t="n">
        <v>300000</v>
      </c>
      <c r="N46" s="52" t="n">
        <v>300000</v>
      </c>
      <c r="O46" s="53" t="n">
        <f aca="false">SUM(C46:N46)</f>
        <v>3600000</v>
      </c>
    </row>
    <row r="47" customFormat="false" ht="15" hidden="false" customHeight="false" outlineLevel="0" collapsed="false">
      <c r="A47" s="3" t="s">
        <v>193</v>
      </c>
      <c r="B47" s="3" t="s">
        <v>36</v>
      </c>
      <c r="C47" s="52" t="n">
        <v>200000</v>
      </c>
      <c r="D47" s="52" t="n">
        <v>200000</v>
      </c>
      <c r="E47" s="52" t="n">
        <v>200000</v>
      </c>
      <c r="F47" s="52" t="n">
        <v>200000</v>
      </c>
      <c r="G47" s="52" t="n">
        <v>200000</v>
      </c>
      <c r="H47" s="52" t="n">
        <v>200000</v>
      </c>
      <c r="I47" s="52" t="n">
        <v>200000</v>
      </c>
      <c r="J47" s="52" t="n">
        <v>200000</v>
      </c>
      <c r="K47" s="52" t="n">
        <v>200000</v>
      </c>
      <c r="L47" s="52" t="n">
        <v>200000</v>
      </c>
      <c r="M47" s="52" t="n">
        <v>200000</v>
      </c>
      <c r="N47" s="52" t="n">
        <v>200000</v>
      </c>
      <c r="O47" s="53" t="n">
        <f aca="false">SUM(C47:N47)</f>
        <v>2400000</v>
      </c>
    </row>
    <row r="48" customFormat="false" ht="15" hidden="false" customHeight="false" outlineLevel="0" collapsed="false">
      <c r="A48" s="3" t="s">
        <v>194</v>
      </c>
      <c r="B48" s="3" t="s">
        <v>36</v>
      </c>
      <c r="C48" s="52" t="n">
        <v>300000</v>
      </c>
      <c r="D48" s="52" t="n">
        <v>300000</v>
      </c>
      <c r="E48" s="52" t="n">
        <v>300000</v>
      </c>
      <c r="F48" s="52" t="n">
        <v>300000</v>
      </c>
      <c r="G48" s="52" t="n">
        <v>300000</v>
      </c>
      <c r="H48" s="52" t="n">
        <v>300000</v>
      </c>
      <c r="I48" s="52" t="n">
        <v>300000</v>
      </c>
      <c r="J48" s="52" t="n">
        <v>300000</v>
      </c>
      <c r="K48" s="52" t="n">
        <v>300000</v>
      </c>
      <c r="L48" s="52" t="n">
        <v>300000</v>
      </c>
      <c r="M48" s="52" t="n">
        <v>300000</v>
      </c>
      <c r="N48" s="52" t="n">
        <v>300000</v>
      </c>
      <c r="O48" s="53" t="n">
        <f aca="false">SUM(C48:N48)</f>
        <v>3600000</v>
      </c>
    </row>
    <row r="49" customFormat="false" ht="15" hidden="false" customHeight="false" outlineLevel="0" collapsed="false">
      <c r="A49" s="3" t="s">
        <v>163</v>
      </c>
      <c r="B49" s="3"/>
      <c r="C49" s="52" t="n">
        <v>0</v>
      </c>
      <c r="D49" s="52" t="n">
        <v>0</v>
      </c>
      <c r="E49" s="52" t="n">
        <v>0</v>
      </c>
      <c r="F49" s="52" t="n">
        <v>0</v>
      </c>
      <c r="G49" s="52" t="n">
        <v>0</v>
      </c>
      <c r="H49" s="52" t="n">
        <v>0</v>
      </c>
      <c r="I49" s="52" t="n">
        <v>0</v>
      </c>
      <c r="J49" s="52" t="n">
        <v>0</v>
      </c>
      <c r="K49" s="52" t="n">
        <v>0</v>
      </c>
      <c r="L49" s="52" t="n">
        <v>0</v>
      </c>
      <c r="M49" s="52" t="n">
        <v>0</v>
      </c>
      <c r="N49" s="52" t="n">
        <v>0</v>
      </c>
      <c r="O49" s="53" t="n">
        <f aca="false">SUM(C49:N49)</f>
        <v>0</v>
      </c>
    </row>
    <row r="50" customFormat="false" ht="15" hidden="false" customHeight="false" outlineLevel="0" collapsed="false">
      <c r="A50" s="42" t="s">
        <v>195</v>
      </c>
      <c r="B50" s="58"/>
      <c r="C50" s="59" t="n">
        <f aca="false">SUM(C44:C49)</f>
        <v>2200000</v>
      </c>
      <c r="D50" s="59" t="n">
        <f aca="false">SUM(D44:D49)</f>
        <v>2200000</v>
      </c>
      <c r="E50" s="59" t="n">
        <f aca="false">SUM(E44:E49)</f>
        <v>2200000</v>
      </c>
      <c r="F50" s="59" t="n">
        <f aca="false">SUM(F44:F49)</f>
        <v>2200000</v>
      </c>
      <c r="G50" s="59" t="n">
        <f aca="false">SUM(G44:G49)</f>
        <v>2200000</v>
      </c>
      <c r="H50" s="59" t="n">
        <f aca="false">SUM(H44:H49)</f>
        <v>2200000</v>
      </c>
      <c r="I50" s="59" t="n">
        <f aca="false">SUM(I44:I49)</f>
        <v>2200000</v>
      </c>
      <c r="J50" s="59" t="n">
        <f aca="false">SUM(J44:J49)</f>
        <v>2200000</v>
      </c>
      <c r="K50" s="59" t="n">
        <f aca="false">SUM(K44:K49)</f>
        <v>2200000</v>
      </c>
      <c r="L50" s="59" t="n">
        <f aca="false">SUM(L44:L49)</f>
        <v>2200000</v>
      </c>
      <c r="M50" s="59" t="n">
        <f aca="false">SUM(M44:M49)</f>
        <v>2200000</v>
      </c>
      <c r="N50" s="59" t="n">
        <f aca="false">SUM(N44:N49)</f>
        <v>2200000</v>
      </c>
      <c r="O50" s="60" t="n">
        <f aca="false">SUM(C50:N50)</f>
        <v>26400000</v>
      </c>
    </row>
    <row r="51" customFormat="false" ht="15" hidden="false" customHeight="false" outlineLevel="0" collapsed="false">
      <c r="A51" s="61" t="s">
        <v>196</v>
      </c>
      <c r="B51" s="62"/>
      <c r="C51" s="63" t="n">
        <f aca="false">C26+C37+C42+C50</f>
        <v>15561000</v>
      </c>
      <c r="D51" s="63" t="n">
        <f aca="false">D26+D37+D42+D50</f>
        <v>15561000</v>
      </c>
      <c r="E51" s="63" t="n">
        <f aca="false">E26+E37+E42+E50</f>
        <v>15561000</v>
      </c>
      <c r="F51" s="63" t="n">
        <f aca="false">F26+F37+F42+F50</f>
        <v>15561000</v>
      </c>
      <c r="G51" s="63" t="n">
        <f aca="false">G26+G37+G42+G50</f>
        <v>15561000</v>
      </c>
      <c r="H51" s="63" t="n">
        <f aca="false">H26+H37+H42+H50</f>
        <v>15561000</v>
      </c>
      <c r="I51" s="63" t="n">
        <f aca="false">I26+I37+I42+I50</f>
        <v>15561000</v>
      </c>
      <c r="J51" s="63" t="n">
        <f aca="false">J26+J37+J42+J50</f>
        <v>15561000</v>
      </c>
      <c r="K51" s="63" t="n">
        <f aca="false">K26+K37+K42+K50</f>
        <v>15561000</v>
      </c>
      <c r="L51" s="63" t="n">
        <f aca="false">L26+L37+L42+L50</f>
        <v>15561000</v>
      </c>
      <c r="M51" s="63" t="n">
        <f aca="false">M26+M37+M42+M50</f>
        <v>15561000</v>
      </c>
      <c r="N51" s="63" t="n">
        <f aca="false">N26+N37+N42+N50</f>
        <v>15561000</v>
      </c>
      <c r="O51" s="63" t="n">
        <f aca="false">SUM(C51:N51)</f>
        <v>186732000</v>
      </c>
    </row>
    <row r="52" customFormat="false" ht="15" hidden="false" customHeight="false" outlineLevel="0" collapsed="false">
      <c r="A52" s="32" t="s">
        <v>197</v>
      </c>
      <c r="B52" s="34"/>
      <c r="C52" s="64" t="n">
        <f aca="false">C15-C51</f>
        <v>1639000</v>
      </c>
      <c r="D52" s="64" t="n">
        <f aca="false">D15-D51</f>
        <v>1639000</v>
      </c>
      <c r="E52" s="64" t="n">
        <f aca="false">E15-E51</f>
        <v>1639000</v>
      </c>
      <c r="F52" s="64" t="n">
        <f aca="false">F15-F51</f>
        <v>1639000</v>
      </c>
      <c r="G52" s="64" t="n">
        <f aca="false">G15-G51</f>
        <v>1639000</v>
      </c>
      <c r="H52" s="64" t="n">
        <f aca="false">H15-H51</f>
        <v>1639000</v>
      </c>
      <c r="I52" s="64" t="n">
        <f aca="false">I15-I51</f>
        <v>1639000</v>
      </c>
      <c r="J52" s="64" t="n">
        <f aca="false">J15-J51</f>
        <v>1639000</v>
      </c>
      <c r="K52" s="64" t="n">
        <f aca="false">K15-K51</f>
        <v>1639000</v>
      </c>
      <c r="L52" s="64" t="n">
        <f aca="false">L15-L51</f>
        <v>1639000</v>
      </c>
      <c r="M52" s="64" t="n">
        <f aca="false">M15-M51</f>
        <v>1639000</v>
      </c>
      <c r="N52" s="64" t="n">
        <f aca="false">N15-N51</f>
        <v>1639000</v>
      </c>
      <c r="O52" s="64" t="n">
        <f aca="false">SUM(C52:N52)</f>
        <v>19668000</v>
      </c>
    </row>
    <row r="54" customFormat="false" ht="15" hidden="false" customHeight="false" outlineLevel="0" collapsed="false">
      <c r="A54" s="5" t="s">
        <v>198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customFormat="false" ht="15" hidden="false" customHeight="false" outlineLevel="0" collapsed="false">
      <c r="A55" s="2" t="s">
        <v>141</v>
      </c>
      <c r="B55" s="2" t="s">
        <v>142</v>
      </c>
      <c r="C55" s="2" t="s">
        <v>143</v>
      </c>
      <c r="D55" s="2" t="s">
        <v>144</v>
      </c>
      <c r="E55" s="2" t="s">
        <v>145</v>
      </c>
      <c r="F55" s="2" t="s">
        <v>146</v>
      </c>
      <c r="G55" s="2" t="s">
        <v>147</v>
      </c>
      <c r="H55" s="2" t="s">
        <v>148</v>
      </c>
      <c r="I55" s="2" t="s">
        <v>149</v>
      </c>
      <c r="J55" s="2" t="s">
        <v>150</v>
      </c>
      <c r="K55" s="2" t="s">
        <v>151</v>
      </c>
      <c r="L55" s="2" t="s">
        <v>152</v>
      </c>
      <c r="M55" s="2" t="s">
        <v>153</v>
      </c>
      <c r="N55" s="2" t="s">
        <v>154</v>
      </c>
      <c r="O55" s="50" t="s">
        <v>155</v>
      </c>
    </row>
    <row r="56" customFormat="false" ht="15" hidden="false" customHeight="false" outlineLevel="0" collapsed="false">
      <c r="A56" s="4" t="s">
        <v>199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customFormat="false" ht="15" hidden="false" customHeight="false" outlineLevel="0" collapsed="false">
      <c r="A57" s="3" t="s">
        <v>200</v>
      </c>
      <c r="B57" s="51" t="s">
        <v>36</v>
      </c>
      <c r="C57" s="52" t="n">
        <v>25000000</v>
      </c>
      <c r="D57" s="52" t="n">
        <v>25000000</v>
      </c>
      <c r="E57" s="52" t="n">
        <v>25000000</v>
      </c>
      <c r="F57" s="52" t="n">
        <v>25000000</v>
      </c>
      <c r="G57" s="52" t="n">
        <v>25000000</v>
      </c>
      <c r="H57" s="52" t="n">
        <v>25000000</v>
      </c>
      <c r="I57" s="52" t="n">
        <v>25000000</v>
      </c>
      <c r="J57" s="52" t="n">
        <v>25000000</v>
      </c>
      <c r="K57" s="52" t="n">
        <v>25000000</v>
      </c>
      <c r="L57" s="52" t="n">
        <v>25000000</v>
      </c>
      <c r="M57" s="52" t="n">
        <v>25000000</v>
      </c>
      <c r="N57" s="52" t="n">
        <v>25000000</v>
      </c>
      <c r="O57" s="53" t="n">
        <f aca="false">SUM(C57:N57)</f>
        <v>300000000</v>
      </c>
    </row>
    <row r="58" customFormat="false" ht="15" hidden="false" customHeight="false" outlineLevel="0" collapsed="false">
      <c r="A58" s="3" t="s">
        <v>201</v>
      </c>
      <c r="B58" s="51" t="s">
        <v>36</v>
      </c>
      <c r="C58" s="52" t="n">
        <v>5000000</v>
      </c>
      <c r="D58" s="52" t="n">
        <v>5000000</v>
      </c>
      <c r="E58" s="52" t="n">
        <v>5000000</v>
      </c>
      <c r="F58" s="52" t="n">
        <v>5000000</v>
      </c>
      <c r="G58" s="52" t="n">
        <v>5000000</v>
      </c>
      <c r="H58" s="52" t="n">
        <v>5000000</v>
      </c>
      <c r="I58" s="52" t="n">
        <v>5000000</v>
      </c>
      <c r="J58" s="52" t="n">
        <v>5000000</v>
      </c>
      <c r="K58" s="52" t="n">
        <v>5000000</v>
      </c>
      <c r="L58" s="52" t="n">
        <v>5000000</v>
      </c>
      <c r="M58" s="52" t="n">
        <v>5000000</v>
      </c>
      <c r="N58" s="52" t="n">
        <v>5000000</v>
      </c>
      <c r="O58" s="53" t="n">
        <f aca="false">SUM(C58:N58)</f>
        <v>60000000</v>
      </c>
    </row>
    <row r="59" customFormat="false" ht="15" hidden="false" customHeight="false" outlineLevel="0" collapsed="false">
      <c r="A59" s="3" t="s">
        <v>202</v>
      </c>
      <c r="B59" s="51" t="s">
        <v>36</v>
      </c>
      <c r="C59" s="52" t="n">
        <v>0</v>
      </c>
      <c r="D59" s="52" t="n">
        <v>0</v>
      </c>
      <c r="E59" s="52" t="n">
        <v>0</v>
      </c>
      <c r="F59" s="52" t="n">
        <v>0</v>
      </c>
      <c r="G59" s="52" t="n">
        <v>0</v>
      </c>
      <c r="H59" s="52" t="n">
        <v>0</v>
      </c>
      <c r="I59" s="52" t="n">
        <v>0</v>
      </c>
      <c r="J59" s="52" t="n">
        <v>0</v>
      </c>
      <c r="K59" s="52" t="n">
        <v>0</v>
      </c>
      <c r="L59" s="52" t="n">
        <v>0</v>
      </c>
      <c r="M59" s="52" t="n">
        <v>0</v>
      </c>
      <c r="N59" s="52" t="n">
        <v>0</v>
      </c>
      <c r="O59" s="53" t="n">
        <f aca="false">SUM(C59:N59)</f>
        <v>0</v>
      </c>
    </row>
    <row r="60" customFormat="false" ht="15" hidden="false" customHeight="false" outlineLevel="0" collapsed="false">
      <c r="A60" s="3" t="s">
        <v>163</v>
      </c>
      <c r="B60" s="51"/>
      <c r="C60" s="52" t="n">
        <v>0</v>
      </c>
      <c r="D60" s="52" t="n">
        <v>0</v>
      </c>
      <c r="E60" s="52" t="n">
        <v>0</v>
      </c>
      <c r="F60" s="52" t="n">
        <v>0</v>
      </c>
      <c r="G60" s="52" t="n">
        <v>0</v>
      </c>
      <c r="H60" s="52" t="n">
        <v>0</v>
      </c>
      <c r="I60" s="52" t="n">
        <v>0</v>
      </c>
      <c r="J60" s="52" t="n">
        <v>0</v>
      </c>
      <c r="K60" s="52" t="n">
        <v>0</v>
      </c>
      <c r="L60" s="52" t="n">
        <v>0</v>
      </c>
      <c r="M60" s="52" t="n">
        <v>0</v>
      </c>
      <c r="N60" s="52" t="n">
        <v>0</v>
      </c>
      <c r="O60" s="53" t="n">
        <f aca="false">SUM(C60:N60)</f>
        <v>0</v>
      </c>
    </row>
    <row r="61" customFormat="false" ht="15" hidden="false" customHeight="false" outlineLevel="0" collapsed="false">
      <c r="A61" s="54" t="s">
        <v>203</v>
      </c>
      <c r="B61" s="55"/>
      <c r="C61" s="56" t="n">
        <f aca="false">SUM(C57:C60)</f>
        <v>30000000</v>
      </c>
      <c r="D61" s="56" t="n">
        <f aca="false">SUM(D57:D60)</f>
        <v>30000000</v>
      </c>
      <c r="E61" s="56" t="n">
        <f aca="false">SUM(E57:E60)</f>
        <v>30000000</v>
      </c>
      <c r="F61" s="56" t="n">
        <f aca="false">SUM(F57:F60)</f>
        <v>30000000</v>
      </c>
      <c r="G61" s="56" t="n">
        <f aca="false">SUM(G57:G60)</f>
        <v>30000000</v>
      </c>
      <c r="H61" s="56" t="n">
        <f aca="false">SUM(H57:H60)</f>
        <v>30000000</v>
      </c>
      <c r="I61" s="56" t="n">
        <f aca="false">SUM(I57:I60)</f>
        <v>30000000</v>
      </c>
      <c r="J61" s="56" t="n">
        <f aca="false">SUM(J57:J60)</f>
        <v>30000000</v>
      </c>
      <c r="K61" s="56" t="n">
        <f aca="false">SUM(K57:K60)</f>
        <v>30000000</v>
      </c>
      <c r="L61" s="56" t="n">
        <f aca="false">SUM(L57:L60)</f>
        <v>30000000</v>
      </c>
      <c r="M61" s="56" t="n">
        <f aca="false">SUM(M57:M60)</f>
        <v>30000000</v>
      </c>
      <c r="N61" s="56" t="n">
        <f aca="false">SUM(N57:N60)</f>
        <v>30000000</v>
      </c>
      <c r="O61" s="56" t="n">
        <f aca="false">SUM(C61:N61)</f>
        <v>360000000</v>
      </c>
    </row>
    <row r="62" customFormat="false" ht="15" hidden="false" customHeight="false" outlineLevel="0" collapsed="false">
      <c r="A62" s="5" t="s">
        <v>204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customFormat="false" ht="15" hidden="false" customHeight="false" outlineLevel="0" collapsed="false">
      <c r="A63" s="3" t="s">
        <v>205</v>
      </c>
      <c r="B63" s="3" t="s">
        <v>11</v>
      </c>
      <c r="C63" s="52" t="n">
        <v>13500000</v>
      </c>
      <c r="D63" s="52" t="n">
        <v>13500000</v>
      </c>
      <c r="E63" s="52" t="n">
        <v>13500000</v>
      </c>
      <c r="F63" s="52" t="n">
        <v>13500000</v>
      </c>
      <c r="G63" s="52" t="n">
        <v>13500000</v>
      </c>
      <c r="H63" s="52" t="n">
        <v>13500000</v>
      </c>
      <c r="I63" s="52" t="n">
        <v>13500000</v>
      </c>
      <c r="J63" s="52" t="n">
        <v>13500000</v>
      </c>
      <c r="K63" s="52" t="n">
        <v>13500000</v>
      </c>
      <c r="L63" s="52" t="n">
        <v>13500000</v>
      </c>
      <c r="M63" s="52" t="n">
        <v>13500000</v>
      </c>
      <c r="N63" s="52" t="n">
        <v>13500000</v>
      </c>
      <c r="O63" s="53" t="n">
        <f aca="false">SUM(C63:N63)</f>
        <v>162000000</v>
      </c>
    </row>
    <row r="64" customFormat="false" ht="15" hidden="false" customHeight="false" outlineLevel="0" collapsed="false">
      <c r="A64" s="3" t="s">
        <v>206</v>
      </c>
      <c r="B64" s="3" t="s">
        <v>11</v>
      </c>
      <c r="C64" s="52" t="n">
        <v>4130000</v>
      </c>
      <c r="D64" s="52" t="n">
        <v>4130000</v>
      </c>
      <c r="E64" s="52" t="n">
        <v>4130000</v>
      </c>
      <c r="F64" s="52" t="n">
        <v>4130000</v>
      </c>
      <c r="G64" s="52" t="n">
        <v>4130000</v>
      </c>
      <c r="H64" s="52" t="n">
        <v>4130000</v>
      </c>
      <c r="I64" s="52" t="n">
        <v>4130000</v>
      </c>
      <c r="J64" s="52" t="n">
        <v>4130000</v>
      </c>
      <c r="K64" s="52" t="n">
        <v>4130000</v>
      </c>
      <c r="L64" s="52" t="n">
        <v>4130000</v>
      </c>
      <c r="M64" s="52" t="n">
        <v>4130000</v>
      </c>
      <c r="N64" s="52" t="n">
        <v>4130000</v>
      </c>
      <c r="O64" s="53" t="n">
        <f aca="false">SUM(C64:N64)</f>
        <v>49560000</v>
      </c>
    </row>
    <row r="65" customFormat="false" ht="15" hidden="false" customHeight="false" outlineLevel="0" collapsed="false">
      <c r="A65" s="3" t="s">
        <v>207</v>
      </c>
      <c r="B65" s="3" t="s">
        <v>19</v>
      </c>
      <c r="C65" s="52" t="n">
        <v>350000</v>
      </c>
      <c r="D65" s="52" t="n">
        <v>350000</v>
      </c>
      <c r="E65" s="52" t="n">
        <v>350000</v>
      </c>
      <c r="F65" s="52" t="n">
        <v>350000</v>
      </c>
      <c r="G65" s="52" t="n">
        <v>350000</v>
      </c>
      <c r="H65" s="52" t="n">
        <v>350000</v>
      </c>
      <c r="I65" s="52" t="n">
        <v>350000</v>
      </c>
      <c r="J65" s="52" t="n">
        <v>350000</v>
      </c>
      <c r="K65" s="52" t="n">
        <v>350000</v>
      </c>
      <c r="L65" s="52" t="n">
        <v>350000</v>
      </c>
      <c r="M65" s="52" t="n">
        <v>350000</v>
      </c>
      <c r="N65" s="52" t="n">
        <v>350000</v>
      </c>
      <c r="O65" s="53" t="n">
        <f aca="false">SUM(C65:N65)</f>
        <v>4200000</v>
      </c>
    </row>
    <row r="66" customFormat="false" ht="15" hidden="false" customHeight="false" outlineLevel="0" collapsed="false">
      <c r="A66" s="3" t="s">
        <v>163</v>
      </c>
      <c r="B66" s="3"/>
      <c r="C66" s="52" t="n">
        <v>0</v>
      </c>
      <c r="D66" s="52" t="n">
        <v>0</v>
      </c>
      <c r="E66" s="52" t="n">
        <v>0</v>
      </c>
      <c r="F66" s="52" t="n">
        <v>0</v>
      </c>
      <c r="G66" s="52" t="n">
        <v>0</v>
      </c>
      <c r="H66" s="52" t="n">
        <v>0</v>
      </c>
      <c r="I66" s="52" t="n">
        <v>0</v>
      </c>
      <c r="J66" s="52" t="n">
        <v>0</v>
      </c>
      <c r="K66" s="52" t="n">
        <v>0</v>
      </c>
      <c r="L66" s="52" t="n">
        <v>0</v>
      </c>
      <c r="M66" s="52" t="n">
        <v>0</v>
      </c>
      <c r="N66" s="52" t="n">
        <v>0</v>
      </c>
      <c r="O66" s="53" t="n">
        <f aca="false">SUM(C66:N66)</f>
        <v>0</v>
      </c>
    </row>
    <row r="67" customFormat="false" ht="15" hidden="false" customHeight="false" outlineLevel="0" collapsed="false">
      <c r="A67" s="42" t="s">
        <v>208</v>
      </c>
      <c r="B67" s="58"/>
      <c r="C67" s="59" t="n">
        <f aca="false">SUM(C63:C66)</f>
        <v>17980000</v>
      </c>
      <c r="D67" s="59" t="n">
        <f aca="false">SUM(D63:D66)</f>
        <v>17980000</v>
      </c>
      <c r="E67" s="59" t="n">
        <f aca="false">SUM(E63:E66)</f>
        <v>17980000</v>
      </c>
      <c r="F67" s="59" t="n">
        <f aca="false">SUM(F63:F66)</f>
        <v>17980000</v>
      </c>
      <c r="G67" s="59" t="n">
        <f aca="false">SUM(G63:G66)</f>
        <v>17980000</v>
      </c>
      <c r="H67" s="59" t="n">
        <f aca="false">SUM(H63:H66)</f>
        <v>17980000</v>
      </c>
      <c r="I67" s="59" t="n">
        <f aca="false">SUM(I63:I66)</f>
        <v>17980000</v>
      </c>
      <c r="J67" s="59" t="n">
        <f aca="false">SUM(J63:J66)</f>
        <v>17980000</v>
      </c>
      <c r="K67" s="59" t="n">
        <f aca="false">SUM(K63:K66)</f>
        <v>17980000</v>
      </c>
      <c r="L67" s="59" t="n">
        <f aca="false">SUM(L63:L66)</f>
        <v>17980000</v>
      </c>
      <c r="M67" s="59" t="n">
        <f aca="false">SUM(M63:M66)</f>
        <v>17980000</v>
      </c>
      <c r="N67" s="59" t="n">
        <f aca="false">SUM(N63:N66)</f>
        <v>17980000</v>
      </c>
      <c r="O67" s="60" t="n">
        <f aca="false">SUM(C67:N67)</f>
        <v>215760000</v>
      </c>
    </row>
    <row r="68" customFormat="false" ht="15" hidden="false" customHeight="false" outlineLevel="0" collapsed="false">
      <c r="A68" s="5" t="s">
        <v>209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customFormat="false" ht="15" hidden="false" customHeight="false" outlineLevel="0" collapsed="false">
      <c r="A69" s="3" t="s">
        <v>210</v>
      </c>
      <c r="B69" s="3" t="s">
        <v>11</v>
      </c>
      <c r="C69" s="52" t="n">
        <v>2000000</v>
      </c>
      <c r="D69" s="52" t="n">
        <v>2000000</v>
      </c>
      <c r="E69" s="52" t="n">
        <v>2000000</v>
      </c>
      <c r="F69" s="52" t="n">
        <v>2000000</v>
      </c>
      <c r="G69" s="52" t="n">
        <v>2000000</v>
      </c>
      <c r="H69" s="52" t="n">
        <v>2000000</v>
      </c>
      <c r="I69" s="52" t="n">
        <v>2000000</v>
      </c>
      <c r="J69" s="52" t="n">
        <v>2000000</v>
      </c>
      <c r="K69" s="52" t="n">
        <v>2000000</v>
      </c>
      <c r="L69" s="52" t="n">
        <v>2000000</v>
      </c>
      <c r="M69" s="52" t="n">
        <v>2000000</v>
      </c>
      <c r="N69" s="52" t="n">
        <v>2000000</v>
      </c>
      <c r="O69" s="53" t="n">
        <f aca="false">SUM(C69:N69)</f>
        <v>24000000</v>
      </c>
    </row>
    <row r="70" customFormat="false" ht="15" hidden="false" customHeight="false" outlineLevel="0" collapsed="false">
      <c r="A70" s="3" t="s">
        <v>211</v>
      </c>
      <c r="B70" s="3" t="s">
        <v>11</v>
      </c>
      <c r="C70" s="52" t="n">
        <v>1800000</v>
      </c>
      <c r="D70" s="52" t="n">
        <v>1800000</v>
      </c>
      <c r="E70" s="52" t="n">
        <v>1800000</v>
      </c>
      <c r="F70" s="52" t="n">
        <v>1800000</v>
      </c>
      <c r="G70" s="52" t="n">
        <v>1800000</v>
      </c>
      <c r="H70" s="52" t="n">
        <v>1800000</v>
      </c>
      <c r="I70" s="52" t="n">
        <v>1800000</v>
      </c>
      <c r="J70" s="52" t="n">
        <v>1800000</v>
      </c>
      <c r="K70" s="52" t="n">
        <v>1800000</v>
      </c>
      <c r="L70" s="52" t="n">
        <v>1800000</v>
      </c>
      <c r="M70" s="52" t="n">
        <v>1800000</v>
      </c>
      <c r="N70" s="52" t="n">
        <v>1800000</v>
      </c>
      <c r="O70" s="53" t="n">
        <f aca="false">SUM(C70:N70)</f>
        <v>21600000</v>
      </c>
    </row>
    <row r="71" customFormat="false" ht="15" hidden="false" customHeight="false" outlineLevel="0" collapsed="false">
      <c r="A71" s="3" t="s">
        <v>212</v>
      </c>
      <c r="B71" s="3" t="s">
        <v>19</v>
      </c>
      <c r="C71" s="52" t="n">
        <v>500000</v>
      </c>
      <c r="D71" s="52" t="n">
        <v>500000</v>
      </c>
      <c r="E71" s="52" t="n">
        <v>500000</v>
      </c>
      <c r="F71" s="52" t="n">
        <v>500000</v>
      </c>
      <c r="G71" s="52" t="n">
        <v>500000</v>
      </c>
      <c r="H71" s="52" t="n">
        <v>500000</v>
      </c>
      <c r="I71" s="52" t="n">
        <v>500000</v>
      </c>
      <c r="J71" s="52" t="n">
        <v>500000</v>
      </c>
      <c r="K71" s="52" t="n">
        <v>500000</v>
      </c>
      <c r="L71" s="52" t="n">
        <v>500000</v>
      </c>
      <c r="M71" s="52" t="n">
        <v>500000</v>
      </c>
      <c r="N71" s="52" t="n">
        <v>500000</v>
      </c>
      <c r="O71" s="53" t="n">
        <f aca="false">SUM(C71:N71)</f>
        <v>6000000</v>
      </c>
    </row>
    <row r="72" customFormat="false" ht="15" hidden="false" customHeight="false" outlineLevel="0" collapsed="false">
      <c r="A72" s="3" t="s">
        <v>213</v>
      </c>
      <c r="B72" s="3" t="s">
        <v>11</v>
      </c>
      <c r="C72" s="52" t="n">
        <v>5000000</v>
      </c>
      <c r="D72" s="52" t="n">
        <v>5000000</v>
      </c>
      <c r="E72" s="52" t="n">
        <v>5000000</v>
      </c>
      <c r="F72" s="52" t="n">
        <v>5000000</v>
      </c>
      <c r="G72" s="52" t="n">
        <v>5000000</v>
      </c>
      <c r="H72" s="52" t="n">
        <v>5000000</v>
      </c>
      <c r="I72" s="52" t="n">
        <v>5000000</v>
      </c>
      <c r="J72" s="52" t="n">
        <v>5000000</v>
      </c>
      <c r="K72" s="52" t="n">
        <v>5000000</v>
      </c>
      <c r="L72" s="52" t="n">
        <v>5000000</v>
      </c>
      <c r="M72" s="52" t="n">
        <v>5000000</v>
      </c>
      <c r="N72" s="52" t="n">
        <v>5000000</v>
      </c>
      <c r="O72" s="53" t="n">
        <f aca="false">SUM(C72:N72)</f>
        <v>60000000</v>
      </c>
    </row>
    <row r="73" customFormat="false" ht="15" hidden="false" customHeight="false" outlineLevel="0" collapsed="false">
      <c r="A73" s="3" t="s">
        <v>214</v>
      </c>
      <c r="B73" s="3" t="s">
        <v>11</v>
      </c>
      <c r="C73" s="52" t="n">
        <v>300000</v>
      </c>
      <c r="D73" s="52" t="n">
        <v>300000</v>
      </c>
      <c r="E73" s="52" t="n">
        <v>300000</v>
      </c>
      <c r="F73" s="52" t="n">
        <v>300000</v>
      </c>
      <c r="G73" s="52" t="n">
        <v>300000</v>
      </c>
      <c r="H73" s="52" t="n">
        <v>300000</v>
      </c>
      <c r="I73" s="52" t="n">
        <v>300000</v>
      </c>
      <c r="J73" s="52" t="n">
        <v>300000</v>
      </c>
      <c r="K73" s="52" t="n">
        <v>300000</v>
      </c>
      <c r="L73" s="52" t="n">
        <v>300000</v>
      </c>
      <c r="M73" s="52" t="n">
        <v>300000</v>
      </c>
      <c r="N73" s="52" t="n">
        <v>300000</v>
      </c>
      <c r="O73" s="53" t="n">
        <f aca="false">SUM(C73:N73)</f>
        <v>3600000</v>
      </c>
    </row>
    <row r="74" customFormat="false" ht="15" hidden="false" customHeight="false" outlineLevel="0" collapsed="false">
      <c r="A74" s="3" t="s">
        <v>163</v>
      </c>
      <c r="B74" s="3"/>
      <c r="C74" s="52" t="n">
        <v>0</v>
      </c>
      <c r="D74" s="52" t="n">
        <v>0</v>
      </c>
      <c r="E74" s="52" t="n">
        <v>0</v>
      </c>
      <c r="F74" s="52" t="n">
        <v>0</v>
      </c>
      <c r="G74" s="52" t="n">
        <v>0</v>
      </c>
      <c r="H74" s="52" t="n">
        <v>0</v>
      </c>
      <c r="I74" s="52" t="n">
        <v>0</v>
      </c>
      <c r="J74" s="52" t="n">
        <v>0</v>
      </c>
      <c r="K74" s="52" t="n">
        <v>0</v>
      </c>
      <c r="L74" s="52" t="n">
        <v>0</v>
      </c>
      <c r="M74" s="52" t="n">
        <v>0</v>
      </c>
      <c r="N74" s="52" t="n">
        <v>0</v>
      </c>
      <c r="O74" s="53" t="n">
        <f aca="false">SUM(C74:N74)</f>
        <v>0</v>
      </c>
    </row>
    <row r="75" customFormat="false" ht="15" hidden="false" customHeight="false" outlineLevel="0" collapsed="false">
      <c r="A75" s="42" t="s">
        <v>215</v>
      </c>
      <c r="B75" s="58"/>
      <c r="C75" s="59" t="n">
        <f aca="false">SUM(C69:C74)</f>
        <v>9600000</v>
      </c>
      <c r="D75" s="59" t="n">
        <f aca="false">SUM(D69:D74)</f>
        <v>9600000</v>
      </c>
      <c r="E75" s="59" t="n">
        <f aca="false">SUM(E69:E74)</f>
        <v>9600000</v>
      </c>
      <c r="F75" s="59" t="n">
        <f aca="false">SUM(F69:F74)</f>
        <v>9600000</v>
      </c>
      <c r="G75" s="59" t="n">
        <f aca="false">SUM(G69:G74)</f>
        <v>9600000</v>
      </c>
      <c r="H75" s="59" t="n">
        <f aca="false">SUM(H69:H74)</f>
        <v>9600000</v>
      </c>
      <c r="I75" s="59" t="n">
        <f aca="false">SUM(I69:I74)</f>
        <v>9600000</v>
      </c>
      <c r="J75" s="59" t="n">
        <f aca="false">SUM(J69:J74)</f>
        <v>9600000</v>
      </c>
      <c r="K75" s="59" t="n">
        <f aca="false">SUM(K69:K74)</f>
        <v>9600000</v>
      </c>
      <c r="L75" s="59" t="n">
        <f aca="false">SUM(L69:L74)</f>
        <v>9600000</v>
      </c>
      <c r="M75" s="59" t="n">
        <f aca="false">SUM(M69:M74)</f>
        <v>9600000</v>
      </c>
      <c r="N75" s="59" t="n">
        <f aca="false">SUM(N69:N74)</f>
        <v>9600000</v>
      </c>
      <c r="O75" s="60" t="n">
        <f aca="false">SUM(C75:N75)</f>
        <v>115200000</v>
      </c>
    </row>
    <row r="76" customFormat="false" ht="15" hidden="false" customHeight="false" outlineLevel="0" collapsed="false">
      <c r="A76" s="5" t="s">
        <v>216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customFormat="false" ht="15" hidden="false" customHeight="false" outlineLevel="0" collapsed="false">
      <c r="A77" s="3" t="s">
        <v>217</v>
      </c>
      <c r="B77" s="3" t="s">
        <v>11</v>
      </c>
      <c r="C77" s="52" t="n">
        <v>100000</v>
      </c>
      <c r="D77" s="52" t="n">
        <v>100000</v>
      </c>
      <c r="E77" s="52" t="n">
        <v>100000</v>
      </c>
      <c r="F77" s="52" t="n">
        <v>100000</v>
      </c>
      <c r="G77" s="52" t="n">
        <v>100000</v>
      </c>
      <c r="H77" s="52" t="n">
        <v>100000</v>
      </c>
      <c r="I77" s="52" t="n">
        <v>100000</v>
      </c>
      <c r="J77" s="52" t="n">
        <v>100000</v>
      </c>
      <c r="K77" s="52" t="n">
        <v>100000</v>
      </c>
      <c r="L77" s="52" t="n">
        <v>100000</v>
      </c>
      <c r="M77" s="52" t="n">
        <v>100000</v>
      </c>
      <c r="N77" s="52" t="n">
        <v>100000</v>
      </c>
      <c r="O77" s="53" t="n">
        <f aca="false">SUM(C77:N77)</f>
        <v>1200000</v>
      </c>
    </row>
    <row r="78" customFormat="false" ht="15" hidden="false" customHeight="false" outlineLevel="0" collapsed="false">
      <c r="A78" s="3" t="s">
        <v>218</v>
      </c>
      <c r="B78" s="3" t="s">
        <v>11</v>
      </c>
      <c r="C78" s="52" t="n">
        <v>100000</v>
      </c>
      <c r="D78" s="52" t="n">
        <v>100000</v>
      </c>
      <c r="E78" s="52" t="n">
        <v>100000</v>
      </c>
      <c r="F78" s="52" t="n">
        <v>100000</v>
      </c>
      <c r="G78" s="52" t="n">
        <v>100000</v>
      </c>
      <c r="H78" s="52" t="n">
        <v>100000</v>
      </c>
      <c r="I78" s="52" t="n">
        <v>100000</v>
      </c>
      <c r="J78" s="52" t="n">
        <v>100000</v>
      </c>
      <c r="K78" s="52" t="n">
        <v>100000</v>
      </c>
      <c r="L78" s="52" t="n">
        <v>100000</v>
      </c>
      <c r="M78" s="52" t="n">
        <v>100000</v>
      </c>
      <c r="N78" s="52" t="n">
        <v>100000</v>
      </c>
      <c r="O78" s="53" t="n">
        <f aca="false">SUM(C78:N78)</f>
        <v>1200000</v>
      </c>
    </row>
    <row r="79" customFormat="false" ht="15" hidden="false" customHeight="false" outlineLevel="0" collapsed="false">
      <c r="A79" s="3" t="s">
        <v>219</v>
      </c>
      <c r="B79" s="3" t="s">
        <v>11</v>
      </c>
      <c r="C79" s="52" t="n">
        <v>150000</v>
      </c>
      <c r="D79" s="52" t="n">
        <v>150000</v>
      </c>
      <c r="E79" s="52" t="n">
        <v>150000</v>
      </c>
      <c r="F79" s="52" t="n">
        <v>150000</v>
      </c>
      <c r="G79" s="52" t="n">
        <v>150000</v>
      </c>
      <c r="H79" s="52" t="n">
        <v>150000</v>
      </c>
      <c r="I79" s="52" t="n">
        <v>150000</v>
      </c>
      <c r="J79" s="52" t="n">
        <v>150000</v>
      </c>
      <c r="K79" s="52" t="n">
        <v>150000</v>
      </c>
      <c r="L79" s="52" t="n">
        <v>150000</v>
      </c>
      <c r="M79" s="52" t="n">
        <v>150000</v>
      </c>
      <c r="N79" s="52" t="n">
        <v>150000</v>
      </c>
      <c r="O79" s="53" t="n">
        <f aca="false">SUM(C79:N79)</f>
        <v>1800000</v>
      </c>
    </row>
    <row r="80" customFormat="false" ht="15" hidden="false" customHeight="false" outlineLevel="0" collapsed="false">
      <c r="A80" s="3" t="s">
        <v>220</v>
      </c>
      <c r="B80" s="3" t="s">
        <v>11</v>
      </c>
      <c r="C80" s="52" t="n">
        <v>200000</v>
      </c>
      <c r="D80" s="52" t="n">
        <v>200000</v>
      </c>
      <c r="E80" s="52" t="n">
        <v>200000</v>
      </c>
      <c r="F80" s="52" t="n">
        <v>200000</v>
      </c>
      <c r="G80" s="52" t="n">
        <v>200000</v>
      </c>
      <c r="H80" s="52" t="n">
        <v>200000</v>
      </c>
      <c r="I80" s="52" t="n">
        <v>200000</v>
      </c>
      <c r="J80" s="52" t="n">
        <v>200000</v>
      </c>
      <c r="K80" s="52" t="n">
        <v>200000</v>
      </c>
      <c r="L80" s="52" t="n">
        <v>200000</v>
      </c>
      <c r="M80" s="52" t="n">
        <v>200000</v>
      </c>
      <c r="N80" s="52" t="n">
        <v>200000</v>
      </c>
      <c r="O80" s="53" t="n">
        <f aca="false">SUM(C80:N80)</f>
        <v>2400000</v>
      </c>
    </row>
    <row r="81" customFormat="false" ht="15" hidden="false" customHeight="false" outlineLevel="0" collapsed="false">
      <c r="A81" s="3" t="s">
        <v>163</v>
      </c>
      <c r="B81" s="3"/>
      <c r="C81" s="52" t="n">
        <v>0</v>
      </c>
      <c r="D81" s="52" t="n">
        <v>0</v>
      </c>
      <c r="E81" s="52" t="n">
        <v>0</v>
      </c>
      <c r="F81" s="52" t="n">
        <v>0</v>
      </c>
      <c r="G81" s="52" t="n">
        <v>0</v>
      </c>
      <c r="H81" s="52" t="n">
        <v>0</v>
      </c>
      <c r="I81" s="52" t="n">
        <v>0</v>
      </c>
      <c r="J81" s="52" t="n">
        <v>0</v>
      </c>
      <c r="K81" s="52" t="n">
        <v>0</v>
      </c>
      <c r="L81" s="52" t="n">
        <v>0</v>
      </c>
      <c r="M81" s="52" t="n">
        <v>0</v>
      </c>
      <c r="N81" s="52" t="n">
        <v>0</v>
      </c>
      <c r="O81" s="53" t="n">
        <f aca="false">SUM(C81:N81)</f>
        <v>0</v>
      </c>
    </row>
    <row r="82" customFormat="false" ht="15" hidden="false" customHeight="false" outlineLevel="0" collapsed="false">
      <c r="A82" s="42" t="s">
        <v>221</v>
      </c>
      <c r="B82" s="58"/>
      <c r="C82" s="59" t="n">
        <f aca="false">SUM(C77:C81)</f>
        <v>550000</v>
      </c>
      <c r="D82" s="59" t="n">
        <f aca="false">SUM(D77:D81)</f>
        <v>550000</v>
      </c>
      <c r="E82" s="59" t="n">
        <f aca="false">SUM(E77:E81)</f>
        <v>550000</v>
      </c>
      <c r="F82" s="59" t="n">
        <f aca="false">SUM(F77:F81)</f>
        <v>550000</v>
      </c>
      <c r="G82" s="59" t="n">
        <f aca="false">SUM(G77:G81)</f>
        <v>550000</v>
      </c>
      <c r="H82" s="59" t="n">
        <f aca="false">SUM(H77:H81)</f>
        <v>550000</v>
      </c>
      <c r="I82" s="59" t="n">
        <f aca="false">SUM(I77:I81)</f>
        <v>550000</v>
      </c>
      <c r="J82" s="59" t="n">
        <f aca="false">SUM(J77:J81)</f>
        <v>550000</v>
      </c>
      <c r="K82" s="59" t="n">
        <f aca="false">SUM(K77:K81)</f>
        <v>550000</v>
      </c>
      <c r="L82" s="59" t="n">
        <f aca="false">SUM(L77:L81)</f>
        <v>550000</v>
      </c>
      <c r="M82" s="59" t="n">
        <f aca="false">SUM(M77:M81)</f>
        <v>550000</v>
      </c>
      <c r="N82" s="59" t="n">
        <f aca="false">SUM(N77:N81)</f>
        <v>550000</v>
      </c>
      <c r="O82" s="60" t="n">
        <f aca="false">SUM(C82:N82)</f>
        <v>6600000</v>
      </c>
    </row>
    <row r="83" customFormat="false" ht="15" hidden="false" customHeight="false" outlineLevel="0" collapsed="false">
      <c r="A83" s="5" t="s">
        <v>222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customFormat="false" ht="15" hidden="false" customHeight="false" outlineLevel="0" collapsed="false">
      <c r="A84" s="3" t="s">
        <v>223</v>
      </c>
      <c r="B84" s="3" t="s">
        <v>19</v>
      </c>
      <c r="C84" s="52" t="n">
        <v>1500000</v>
      </c>
      <c r="D84" s="52" t="n">
        <v>1500000</v>
      </c>
      <c r="E84" s="52" t="n">
        <v>1500000</v>
      </c>
      <c r="F84" s="52" t="n">
        <v>1500000</v>
      </c>
      <c r="G84" s="52" t="n">
        <v>1500000</v>
      </c>
      <c r="H84" s="52" t="n">
        <v>1500000</v>
      </c>
      <c r="I84" s="52" t="n">
        <v>1500000</v>
      </c>
      <c r="J84" s="52" t="n">
        <v>1500000</v>
      </c>
      <c r="K84" s="52" t="n">
        <v>1500000</v>
      </c>
      <c r="L84" s="52" t="n">
        <v>1500000</v>
      </c>
      <c r="M84" s="52" t="n">
        <v>1500000</v>
      </c>
      <c r="N84" s="52" t="n">
        <v>1500000</v>
      </c>
      <c r="O84" s="53" t="n">
        <f aca="false">SUM(C84:N84)</f>
        <v>18000000</v>
      </c>
    </row>
    <row r="85" customFormat="false" ht="15" hidden="false" customHeight="false" outlineLevel="0" collapsed="false">
      <c r="A85" s="3" t="s">
        <v>224</v>
      </c>
      <c r="B85" s="3" t="s">
        <v>11</v>
      </c>
      <c r="C85" s="52" t="n">
        <v>800000</v>
      </c>
      <c r="D85" s="52" t="n">
        <v>800000</v>
      </c>
      <c r="E85" s="52" t="n">
        <v>800000</v>
      </c>
      <c r="F85" s="52" t="n">
        <v>800000</v>
      </c>
      <c r="G85" s="52" t="n">
        <v>800000</v>
      </c>
      <c r="H85" s="52" t="n">
        <v>800000</v>
      </c>
      <c r="I85" s="52" t="n">
        <v>800000</v>
      </c>
      <c r="J85" s="52" t="n">
        <v>800000</v>
      </c>
      <c r="K85" s="52" t="n">
        <v>800000</v>
      </c>
      <c r="L85" s="52" t="n">
        <v>800000</v>
      </c>
      <c r="M85" s="52" t="n">
        <v>800000</v>
      </c>
      <c r="N85" s="52" t="n">
        <v>800000</v>
      </c>
      <c r="O85" s="53" t="n">
        <f aca="false">SUM(C85:N85)</f>
        <v>9600000</v>
      </c>
    </row>
    <row r="86" customFormat="false" ht="15" hidden="false" customHeight="false" outlineLevel="0" collapsed="false">
      <c r="A86" s="3" t="s">
        <v>163</v>
      </c>
      <c r="B86" s="3"/>
      <c r="C86" s="52" t="n">
        <v>0</v>
      </c>
      <c r="D86" s="52" t="n">
        <v>0</v>
      </c>
      <c r="E86" s="52" t="n">
        <v>0</v>
      </c>
      <c r="F86" s="52" t="n">
        <v>0</v>
      </c>
      <c r="G86" s="52" t="n">
        <v>0</v>
      </c>
      <c r="H86" s="52" t="n">
        <v>0</v>
      </c>
      <c r="I86" s="52" t="n">
        <v>0</v>
      </c>
      <c r="J86" s="52" t="n">
        <v>0</v>
      </c>
      <c r="K86" s="52" t="n">
        <v>0</v>
      </c>
      <c r="L86" s="52" t="n">
        <v>0</v>
      </c>
      <c r="M86" s="52" t="n">
        <v>0</v>
      </c>
      <c r="N86" s="52" t="n">
        <v>0</v>
      </c>
      <c r="O86" s="53" t="n">
        <f aca="false">SUM(C86:N86)</f>
        <v>0</v>
      </c>
    </row>
    <row r="87" customFormat="false" ht="15" hidden="false" customHeight="false" outlineLevel="0" collapsed="false">
      <c r="A87" s="42" t="s">
        <v>225</v>
      </c>
      <c r="B87" s="58"/>
      <c r="C87" s="59" t="n">
        <f aca="false">SUM(C84:C86)</f>
        <v>2300000</v>
      </c>
      <c r="D87" s="59" t="n">
        <f aca="false">SUM(D84:D86)</f>
        <v>2300000</v>
      </c>
      <c r="E87" s="59" t="n">
        <f aca="false">SUM(E84:E86)</f>
        <v>2300000</v>
      </c>
      <c r="F87" s="59" t="n">
        <f aca="false">SUM(F84:F86)</f>
        <v>2300000</v>
      </c>
      <c r="G87" s="59" t="n">
        <f aca="false">SUM(G84:G86)</f>
        <v>2300000</v>
      </c>
      <c r="H87" s="59" t="n">
        <f aca="false">SUM(H84:H86)</f>
        <v>2300000</v>
      </c>
      <c r="I87" s="59" t="n">
        <f aca="false">SUM(I84:I86)</f>
        <v>2300000</v>
      </c>
      <c r="J87" s="59" t="n">
        <f aca="false">SUM(J84:J86)</f>
        <v>2300000</v>
      </c>
      <c r="K87" s="59" t="n">
        <f aca="false">SUM(K84:K86)</f>
        <v>2300000</v>
      </c>
      <c r="L87" s="59" t="n">
        <f aca="false">SUM(L84:L86)</f>
        <v>2300000</v>
      </c>
      <c r="M87" s="59" t="n">
        <f aca="false">SUM(M84:M86)</f>
        <v>2300000</v>
      </c>
      <c r="N87" s="59" t="n">
        <f aca="false">SUM(N84:N86)</f>
        <v>2300000</v>
      </c>
      <c r="O87" s="60" t="n">
        <f aca="false">SUM(C87:N87)</f>
        <v>27600000</v>
      </c>
    </row>
    <row r="88" customFormat="false" ht="15" hidden="false" customHeight="false" outlineLevel="0" collapsed="false">
      <c r="A88" s="5" t="s">
        <v>226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customFormat="false" ht="15" hidden="false" customHeight="false" outlineLevel="0" collapsed="false">
      <c r="A89" s="3" t="s">
        <v>227</v>
      </c>
      <c r="B89" s="3" t="s">
        <v>36</v>
      </c>
      <c r="C89" s="52" t="n">
        <v>150000</v>
      </c>
      <c r="D89" s="52" t="n">
        <v>150000</v>
      </c>
      <c r="E89" s="52" t="n">
        <v>150000</v>
      </c>
      <c r="F89" s="52" t="n">
        <v>150000</v>
      </c>
      <c r="G89" s="52" t="n">
        <v>150000</v>
      </c>
      <c r="H89" s="52" t="n">
        <v>150000</v>
      </c>
      <c r="I89" s="52" t="n">
        <v>150000</v>
      </c>
      <c r="J89" s="52" t="n">
        <v>150000</v>
      </c>
      <c r="K89" s="52" t="n">
        <v>150000</v>
      </c>
      <c r="L89" s="52" t="n">
        <v>150000</v>
      </c>
      <c r="M89" s="52" t="n">
        <v>150000</v>
      </c>
      <c r="N89" s="52" t="n">
        <v>150000</v>
      </c>
      <c r="O89" s="53" t="n">
        <f aca="false">SUM(C89:N89)</f>
        <v>1800000</v>
      </c>
    </row>
    <row r="90" customFormat="false" ht="15" hidden="false" customHeight="false" outlineLevel="0" collapsed="false">
      <c r="A90" s="3" t="s">
        <v>228</v>
      </c>
      <c r="B90" s="3" t="s">
        <v>36</v>
      </c>
      <c r="C90" s="52" t="n">
        <v>200000</v>
      </c>
      <c r="D90" s="52" t="n">
        <v>200000</v>
      </c>
      <c r="E90" s="52" t="n">
        <v>200000</v>
      </c>
      <c r="F90" s="52" t="n">
        <v>200000</v>
      </c>
      <c r="G90" s="52" t="n">
        <v>200000</v>
      </c>
      <c r="H90" s="52" t="n">
        <v>200000</v>
      </c>
      <c r="I90" s="52" t="n">
        <v>200000</v>
      </c>
      <c r="J90" s="52" t="n">
        <v>200000</v>
      </c>
      <c r="K90" s="52" t="n">
        <v>200000</v>
      </c>
      <c r="L90" s="52" t="n">
        <v>200000</v>
      </c>
      <c r="M90" s="52" t="n">
        <v>200000</v>
      </c>
      <c r="N90" s="52" t="n">
        <v>200000</v>
      </c>
      <c r="O90" s="53" t="n">
        <f aca="false">SUM(C90:N90)</f>
        <v>2400000</v>
      </c>
    </row>
    <row r="91" customFormat="false" ht="15" hidden="false" customHeight="false" outlineLevel="0" collapsed="false">
      <c r="A91" s="3" t="s">
        <v>229</v>
      </c>
      <c r="B91" s="3" t="s">
        <v>36</v>
      </c>
      <c r="C91" s="52" t="n">
        <v>100000</v>
      </c>
      <c r="D91" s="52" t="n">
        <v>100000</v>
      </c>
      <c r="E91" s="52" t="n">
        <v>100000</v>
      </c>
      <c r="F91" s="52" t="n">
        <v>100000</v>
      </c>
      <c r="G91" s="52" t="n">
        <v>100000</v>
      </c>
      <c r="H91" s="52" t="n">
        <v>100000</v>
      </c>
      <c r="I91" s="52" t="n">
        <v>100000</v>
      </c>
      <c r="J91" s="52" t="n">
        <v>100000</v>
      </c>
      <c r="K91" s="52" t="n">
        <v>100000</v>
      </c>
      <c r="L91" s="52" t="n">
        <v>100000</v>
      </c>
      <c r="M91" s="52" t="n">
        <v>100000</v>
      </c>
      <c r="N91" s="52" t="n">
        <v>100000</v>
      </c>
      <c r="O91" s="53" t="n">
        <f aca="false">SUM(C91:N91)</f>
        <v>1200000</v>
      </c>
    </row>
    <row r="92" customFormat="false" ht="15" hidden="false" customHeight="false" outlineLevel="0" collapsed="false">
      <c r="A92" s="3" t="s">
        <v>163</v>
      </c>
      <c r="B92" s="3"/>
      <c r="C92" s="52" t="n">
        <v>0</v>
      </c>
      <c r="D92" s="52" t="n">
        <v>0</v>
      </c>
      <c r="E92" s="52" t="n">
        <v>0</v>
      </c>
      <c r="F92" s="52" t="n">
        <v>0</v>
      </c>
      <c r="G92" s="52" t="n">
        <v>0</v>
      </c>
      <c r="H92" s="52" t="n">
        <v>0</v>
      </c>
      <c r="I92" s="52" t="n">
        <v>0</v>
      </c>
      <c r="J92" s="52" t="n">
        <v>0</v>
      </c>
      <c r="K92" s="52" t="n">
        <v>0</v>
      </c>
      <c r="L92" s="52" t="n">
        <v>0</v>
      </c>
      <c r="M92" s="52" t="n">
        <v>0</v>
      </c>
      <c r="N92" s="52" t="n">
        <v>0</v>
      </c>
      <c r="O92" s="53" t="n">
        <f aca="false">SUM(C92:N92)</f>
        <v>0</v>
      </c>
    </row>
    <row r="93" customFormat="false" ht="15" hidden="false" customHeight="false" outlineLevel="0" collapsed="false">
      <c r="A93" s="42" t="s">
        <v>230</v>
      </c>
      <c r="B93" s="58"/>
      <c r="C93" s="59" t="n">
        <f aca="false">SUM(C89:C92)</f>
        <v>450000</v>
      </c>
      <c r="D93" s="59" t="n">
        <f aca="false">SUM(D89:D92)</f>
        <v>450000</v>
      </c>
      <c r="E93" s="59" t="n">
        <f aca="false">SUM(E89:E92)</f>
        <v>450000</v>
      </c>
      <c r="F93" s="59" t="n">
        <f aca="false">SUM(F89:F92)</f>
        <v>450000</v>
      </c>
      <c r="G93" s="59" t="n">
        <f aca="false">SUM(G89:G92)</f>
        <v>450000</v>
      </c>
      <c r="H93" s="59" t="n">
        <f aca="false">SUM(H89:H92)</f>
        <v>450000</v>
      </c>
      <c r="I93" s="59" t="n">
        <f aca="false">SUM(I89:I92)</f>
        <v>450000</v>
      </c>
      <c r="J93" s="59" t="n">
        <f aca="false">SUM(J89:J92)</f>
        <v>450000</v>
      </c>
      <c r="K93" s="59" t="n">
        <f aca="false">SUM(K89:K92)</f>
        <v>450000</v>
      </c>
      <c r="L93" s="59" t="n">
        <f aca="false">SUM(L89:L92)</f>
        <v>450000</v>
      </c>
      <c r="M93" s="59" t="n">
        <f aca="false">SUM(M89:M92)</f>
        <v>450000</v>
      </c>
      <c r="N93" s="59" t="n">
        <f aca="false">SUM(N89:N92)</f>
        <v>450000</v>
      </c>
      <c r="O93" s="60" t="n">
        <f aca="false">SUM(C93:N93)</f>
        <v>5400000</v>
      </c>
    </row>
    <row r="94" customFormat="false" ht="15" hidden="false" customHeight="false" outlineLevel="0" collapsed="false">
      <c r="A94" s="61" t="s">
        <v>231</v>
      </c>
      <c r="B94" s="62"/>
      <c r="C94" s="63" t="n">
        <f aca="false">C67+C75+C82+C87+C93</f>
        <v>30880000</v>
      </c>
      <c r="D94" s="63" t="n">
        <f aca="false">D67+D75+D82+D87+D93</f>
        <v>30880000</v>
      </c>
      <c r="E94" s="63" t="n">
        <f aca="false">E67+E75+E82+E87+E93</f>
        <v>30880000</v>
      </c>
      <c r="F94" s="63" t="n">
        <f aca="false">F67+F75+F82+F87+F93</f>
        <v>30880000</v>
      </c>
      <c r="G94" s="63" t="n">
        <f aca="false">G67+G75+G82+G87+G93</f>
        <v>30880000</v>
      </c>
      <c r="H94" s="63" t="n">
        <f aca="false">H67+H75+H82+H87+H93</f>
        <v>30880000</v>
      </c>
      <c r="I94" s="63" t="n">
        <f aca="false">I67+I75+I82+I87+I93</f>
        <v>30880000</v>
      </c>
      <c r="J94" s="63" t="n">
        <f aca="false">J67+J75+J82+J87+J93</f>
        <v>30880000</v>
      </c>
      <c r="K94" s="63" t="n">
        <f aca="false">K67+K75+K82+K87+K93</f>
        <v>30880000</v>
      </c>
      <c r="L94" s="63" t="n">
        <f aca="false">L67+L75+L82+L87+L93</f>
        <v>30880000</v>
      </c>
      <c r="M94" s="63" t="n">
        <f aca="false">M67+M75+M82+M87+M93</f>
        <v>30880000</v>
      </c>
      <c r="N94" s="63" t="n">
        <f aca="false">N67+N75+N82+N87+N93</f>
        <v>30880000</v>
      </c>
      <c r="O94" s="63" t="n">
        <f aca="false">SUM(C94:N94)</f>
        <v>370560000</v>
      </c>
    </row>
    <row r="95" customFormat="false" ht="15" hidden="false" customHeight="false" outlineLevel="0" collapsed="false">
      <c r="A95" s="65" t="s">
        <v>232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</row>
    <row r="96" customFormat="false" ht="15" hidden="false" customHeight="false" outlineLevel="0" collapsed="false">
      <c r="A96" s="66" t="s">
        <v>233</v>
      </c>
      <c r="B96" s="67" t="s">
        <v>234</v>
      </c>
      <c r="C96" s="68" t="n">
        <f aca="false">C61-C94</f>
        <v>-880000</v>
      </c>
      <c r="D96" s="68" t="n">
        <f aca="false">D61-D94</f>
        <v>-880000</v>
      </c>
      <c r="E96" s="68" t="n">
        <f aca="false">E61-E94</f>
        <v>-880000</v>
      </c>
      <c r="F96" s="68" t="n">
        <f aca="false">F61-F94</f>
        <v>-880000</v>
      </c>
      <c r="G96" s="68" t="n">
        <f aca="false">G61-G94</f>
        <v>-880000</v>
      </c>
      <c r="H96" s="68" t="n">
        <f aca="false">H61-H94</f>
        <v>-880000</v>
      </c>
      <c r="I96" s="68" t="n">
        <f aca="false">I61-I94</f>
        <v>-880000</v>
      </c>
      <c r="J96" s="68" t="n">
        <f aca="false">J61-J94</f>
        <v>-880000</v>
      </c>
      <c r="K96" s="68" t="n">
        <f aca="false">K61-K94</f>
        <v>-880000</v>
      </c>
      <c r="L96" s="68" t="n">
        <f aca="false">L61-L94</f>
        <v>-880000</v>
      </c>
      <c r="M96" s="68" t="n">
        <f aca="false">M61-M94</f>
        <v>-880000</v>
      </c>
      <c r="N96" s="68" t="n">
        <f aca="false">N61-N94</f>
        <v>-880000</v>
      </c>
      <c r="O96" s="68" t="n">
        <f aca="false">SUM(C96:N96)</f>
        <v>-10560000</v>
      </c>
    </row>
    <row r="97" customFormat="false" ht="15" hidden="false" customHeight="false" outlineLevel="0" collapsed="false">
      <c r="A97" s="66" t="s">
        <v>80</v>
      </c>
      <c r="B97" s="67" t="s">
        <v>234</v>
      </c>
      <c r="C97" s="69" t="n">
        <f aca="false">C61*0.07</f>
        <v>2100000</v>
      </c>
      <c r="D97" s="69" t="n">
        <f aca="false">D61*0.07</f>
        <v>2100000</v>
      </c>
      <c r="E97" s="69" t="n">
        <f aca="false">E61*0.07</f>
        <v>2100000</v>
      </c>
      <c r="F97" s="69" t="n">
        <f aca="false">F61*0.07</f>
        <v>2100000</v>
      </c>
      <c r="G97" s="69" t="n">
        <f aca="false">G61*0.07</f>
        <v>2100000</v>
      </c>
      <c r="H97" s="69" t="n">
        <f aca="false">H61*0.07</f>
        <v>2100000</v>
      </c>
      <c r="I97" s="69" t="n">
        <f aca="false">I61*0.07</f>
        <v>2100000</v>
      </c>
      <c r="J97" s="69" t="n">
        <f aca="false">J61*0.07</f>
        <v>2100000</v>
      </c>
      <c r="K97" s="69" t="n">
        <f aca="false">K61*0.07</f>
        <v>2100000</v>
      </c>
      <c r="L97" s="69" t="n">
        <f aca="false">L61*0.07</f>
        <v>2100000</v>
      </c>
      <c r="M97" s="69" t="n">
        <f aca="false">M61*0.07</f>
        <v>2100000</v>
      </c>
      <c r="N97" s="69" t="n">
        <f aca="false">N61*0.07</f>
        <v>2100000</v>
      </c>
      <c r="O97" s="68" t="n">
        <f aca="false">SUM(C97:N97)</f>
        <v>25200000</v>
      </c>
    </row>
    <row r="98" customFormat="false" ht="15" hidden="false" customHeight="false" outlineLevel="0" collapsed="false">
      <c r="A98" s="66" t="s">
        <v>235</v>
      </c>
      <c r="B98" s="67" t="s">
        <v>234</v>
      </c>
      <c r="C98" s="69" t="n">
        <f aca="false">C97/3</f>
        <v>700000</v>
      </c>
      <c r="D98" s="69" t="n">
        <f aca="false">D97/3</f>
        <v>700000</v>
      </c>
      <c r="E98" s="69" t="n">
        <f aca="false">E97/3</f>
        <v>700000</v>
      </c>
      <c r="F98" s="69" t="n">
        <f aca="false">F97/3</f>
        <v>700000</v>
      </c>
      <c r="G98" s="69" t="n">
        <f aca="false">G97/3</f>
        <v>700000</v>
      </c>
      <c r="H98" s="69" t="n">
        <f aca="false">H97/3</f>
        <v>700000</v>
      </c>
      <c r="I98" s="69" t="n">
        <f aca="false">I97/3</f>
        <v>700000</v>
      </c>
      <c r="J98" s="69" t="n">
        <f aca="false">J97/3</f>
        <v>700000</v>
      </c>
      <c r="K98" s="69" t="n">
        <f aca="false">K97/3</f>
        <v>700000</v>
      </c>
      <c r="L98" s="69" t="n">
        <f aca="false">L97/3</f>
        <v>700000</v>
      </c>
      <c r="M98" s="69" t="n">
        <f aca="false">M97/3</f>
        <v>700000</v>
      </c>
      <c r="N98" s="69" t="n">
        <f aca="false">N97/3</f>
        <v>700000</v>
      </c>
      <c r="O98" s="68" t="n">
        <f aca="false">SUM(C98:N98)</f>
        <v>8400000</v>
      </c>
    </row>
    <row r="99" customFormat="false" ht="15" hidden="false" customHeight="false" outlineLevel="0" collapsed="false">
      <c r="A99" s="66" t="s">
        <v>236</v>
      </c>
      <c r="B99" s="67" t="s">
        <v>234</v>
      </c>
      <c r="C99" s="69" t="n">
        <f aca="false">C97/3</f>
        <v>700000</v>
      </c>
      <c r="D99" s="69" t="n">
        <f aca="false">D97/3</f>
        <v>700000</v>
      </c>
      <c r="E99" s="69" t="n">
        <f aca="false">E97/3</f>
        <v>700000</v>
      </c>
      <c r="F99" s="69" t="n">
        <f aca="false">F97/3</f>
        <v>700000</v>
      </c>
      <c r="G99" s="69" t="n">
        <f aca="false">G97/3</f>
        <v>700000</v>
      </c>
      <c r="H99" s="69" t="n">
        <f aca="false">H97/3</f>
        <v>700000</v>
      </c>
      <c r="I99" s="69" t="n">
        <f aca="false">I97/3</f>
        <v>700000</v>
      </c>
      <c r="J99" s="69" t="n">
        <f aca="false">J97/3</f>
        <v>700000</v>
      </c>
      <c r="K99" s="69" t="n">
        <f aca="false">K97/3</f>
        <v>700000</v>
      </c>
      <c r="L99" s="69" t="n">
        <f aca="false">L97/3</f>
        <v>700000</v>
      </c>
      <c r="M99" s="69" t="n">
        <f aca="false">M97/3</f>
        <v>700000</v>
      </c>
      <c r="N99" s="69" t="n">
        <f aca="false">N97/3</f>
        <v>700000</v>
      </c>
      <c r="O99" s="68" t="n">
        <f aca="false">SUM(C99:N99)</f>
        <v>8400000</v>
      </c>
    </row>
    <row r="100" customFormat="false" ht="15" hidden="false" customHeight="false" outlineLevel="0" collapsed="false">
      <c r="A100" s="66" t="s">
        <v>237</v>
      </c>
      <c r="B100" s="67" t="s">
        <v>234</v>
      </c>
      <c r="C100" s="69" t="n">
        <f aca="false">C97/3</f>
        <v>700000</v>
      </c>
      <c r="D100" s="69" t="n">
        <f aca="false">D97/3</f>
        <v>700000</v>
      </c>
      <c r="E100" s="69" t="n">
        <f aca="false">E97/3</f>
        <v>700000</v>
      </c>
      <c r="F100" s="69" t="n">
        <f aca="false">F97/3</f>
        <v>700000</v>
      </c>
      <c r="G100" s="69" t="n">
        <f aca="false">G97/3</f>
        <v>700000</v>
      </c>
      <c r="H100" s="69" t="n">
        <f aca="false">H97/3</f>
        <v>700000</v>
      </c>
      <c r="I100" s="69" t="n">
        <f aca="false">I97/3</f>
        <v>700000</v>
      </c>
      <c r="J100" s="69" t="n">
        <f aca="false">J97/3</f>
        <v>700000</v>
      </c>
      <c r="K100" s="69" t="n">
        <f aca="false">K97/3</f>
        <v>700000</v>
      </c>
      <c r="L100" s="69" t="n">
        <f aca="false">L97/3</f>
        <v>700000</v>
      </c>
      <c r="M100" s="69" t="n">
        <f aca="false">M97/3</f>
        <v>700000</v>
      </c>
      <c r="N100" s="69" t="n">
        <f aca="false">N97/3</f>
        <v>700000</v>
      </c>
      <c r="O100" s="68" t="n">
        <f aca="false">SUM(C100:N100)</f>
        <v>8400000</v>
      </c>
    </row>
    <row r="101" customFormat="false" ht="15" hidden="false" customHeight="false" outlineLevel="0" collapsed="false">
      <c r="A101" s="32" t="s">
        <v>125</v>
      </c>
      <c r="B101" s="34"/>
      <c r="C101" s="64" t="n">
        <f aca="false">C96</f>
        <v>-880000</v>
      </c>
      <c r="D101" s="64" t="n">
        <f aca="false">D96</f>
        <v>-880000</v>
      </c>
      <c r="E101" s="64" t="n">
        <f aca="false">E96</f>
        <v>-880000</v>
      </c>
      <c r="F101" s="64" t="n">
        <f aca="false">F96</f>
        <v>-880000</v>
      </c>
      <c r="G101" s="64" t="n">
        <f aca="false">G96</f>
        <v>-880000</v>
      </c>
      <c r="H101" s="64" t="n">
        <f aca="false">H96</f>
        <v>-880000</v>
      </c>
      <c r="I101" s="64" t="n">
        <f aca="false">I96</f>
        <v>-880000</v>
      </c>
      <c r="J101" s="64" t="n">
        <f aca="false">J96</f>
        <v>-880000</v>
      </c>
      <c r="K101" s="64" t="n">
        <f aca="false">K96</f>
        <v>-880000</v>
      </c>
      <c r="L101" s="64" t="n">
        <f aca="false">L96</f>
        <v>-880000</v>
      </c>
      <c r="M101" s="64" t="n">
        <f aca="false">M96</f>
        <v>-880000</v>
      </c>
      <c r="N101" s="64" t="n">
        <f aca="false">N96</f>
        <v>-880000</v>
      </c>
      <c r="O101" s="64" t="n">
        <f aca="false">SUM(C101:N101)</f>
        <v>-10560000</v>
      </c>
    </row>
  </sheetData>
  <mergeCells count="15">
    <mergeCell ref="A1:O1"/>
    <mergeCell ref="A4:O4"/>
    <mergeCell ref="A6:O6"/>
    <mergeCell ref="A16:O16"/>
    <mergeCell ref="A27:O27"/>
    <mergeCell ref="A38:O38"/>
    <mergeCell ref="A43:O43"/>
    <mergeCell ref="A54:O54"/>
    <mergeCell ref="A56:O56"/>
    <mergeCell ref="A62:O62"/>
    <mergeCell ref="A68:O68"/>
    <mergeCell ref="A76:O76"/>
    <mergeCell ref="A83:O83"/>
    <mergeCell ref="A88:O88"/>
    <mergeCell ref="A95:O9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5"/>
    <col collapsed="false" customWidth="true" hidden="false" outlineLevel="0" max="6" min="6" style="0" width="11"/>
    <col collapsed="false" customWidth="true" hidden="false" outlineLevel="0" max="18" min="7" style="0" width="9"/>
  </cols>
  <sheetData>
    <row r="1" customFormat="false" ht="30" hidden="false" customHeight="true" outlineLevel="0" collapsed="false">
      <c r="A1" s="70" t="s">
        <v>238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customFormat="false" ht="15" hidden="false" customHeight="false" outlineLevel="0" collapsed="false">
      <c r="A2" s="71" t="s">
        <v>239</v>
      </c>
    </row>
    <row r="4" customFormat="false" ht="15" hidden="false" customHeight="false" outlineLevel="0" collapsed="false">
      <c r="A4" s="72" t="s">
        <v>141</v>
      </c>
      <c r="B4" s="72" t="s">
        <v>1</v>
      </c>
      <c r="C4" s="72" t="s">
        <v>240</v>
      </c>
      <c r="D4" s="72" t="s">
        <v>3</v>
      </c>
      <c r="E4" s="72" t="s">
        <v>241</v>
      </c>
      <c r="F4" s="72" t="s">
        <v>242</v>
      </c>
      <c r="G4" s="73" t="s">
        <v>143</v>
      </c>
      <c r="H4" s="73" t="s">
        <v>144</v>
      </c>
      <c r="I4" s="73" t="s">
        <v>145</v>
      </c>
      <c r="J4" s="73" t="s">
        <v>146</v>
      </c>
      <c r="K4" s="73" t="s">
        <v>147</v>
      </c>
      <c r="L4" s="73" t="s">
        <v>148</v>
      </c>
      <c r="M4" s="73" t="s">
        <v>149</v>
      </c>
      <c r="N4" s="73" t="s">
        <v>150</v>
      </c>
      <c r="O4" s="73" t="s">
        <v>151</v>
      </c>
      <c r="P4" s="73" t="s">
        <v>152</v>
      </c>
      <c r="Q4" s="73" t="s">
        <v>153</v>
      </c>
      <c r="R4" s="73" t="s">
        <v>154</v>
      </c>
    </row>
    <row r="5" customFormat="false" ht="15" hidden="false" customHeight="false" outlineLevel="0" collapsed="false">
      <c r="A5" s="74" t="s">
        <v>243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</row>
    <row r="6" customFormat="false" ht="15" hidden="false" customHeight="false" outlineLevel="0" collapsed="false">
      <c r="A6" s="3" t="s">
        <v>166</v>
      </c>
      <c r="B6" s="3" t="s">
        <v>9</v>
      </c>
      <c r="C6" s="3" t="s">
        <v>53</v>
      </c>
      <c r="D6" s="3" t="s">
        <v>11</v>
      </c>
      <c r="E6" s="3" t="n">
        <v>30</v>
      </c>
      <c r="F6" s="17" t="n">
        <v>1800000</v>
      </c>
    </row>
    <row r="7" customFormat="false" ht="15" hidden="false" customHeight="false" outlineLevel="0" collapsed="false">
      <c r="A7" s="3" t="s">
        <v>167</v>
      </c>
      <c r="B7" s="3" t="s">
        <v>9</v>
      </c>
      <c r="C7" s="3" t="s">
        <v>53</v>
      </c>
      <c r="D7" s="3" t="s">
        <v>11</v>
      </c>
      <c r="E7" s="3" t="n">
        <v>30</v>
      </c>
      <c r="F7" s="17" t="n">
        <v>1200000</v>
      </c>
    </row>
    <row r="8" customFormat="false" ht="15" hidden="false" customHeight="false" outlineLevel="0" collapsed="false">
      <c r="A8" s="3" t="s">
        <v>168</v>
      </c>
      <c r="B8" s="3" t="s">
        <v>9</v>
      </c>
      <c r="C8" s="3" t="s">
        <v>53</v>
      </c>
      <c r="D8" s="3" t="s">
        <v>11</v>
      </c>
      <c r="E8" s="3" t="n">
        <v>10</v>
      </c>
      <c r="F8" s="17" t="n">
        <v>1600000</v>
      </c>
    </row>
    <row r="9" customFormat="false" ht="15" hidden="false" customHeight="false" outlineLevel="0" collapsed="false">
      <c r="A9" s="3" t="s">
        <v>169</v>
      </c>
      <c r="B9" s="3" t="s">
        <v>9</v>
      </c>
      <c r="C9" s="3" t="s">
        <v>53</v>
      </c>
      <c r="D9" s="3" t="s">
        <v>11</v>
      </c>
      <c r="E9" s="3" t="n">
        <v>11</v>
      </c>
      <c r="F9" s="17" t="n">
        <v>400000</v>
      </c>
    </row>
    <row r="10" customFormat="false" ht="15" hidden="false" customHeight="false" outlineLevel="0" collapsed="false">
      <c r="A10" s="3" t="s">
        <v>170</v>
      </c>
      <c r="B10" s="3" t="s">
        <v>9</v>
      </c>
      <c r="C10" s="3" t="s">
        <v>53</v>
      </c>
      <c r="D10" s="3" t="s">
        <v>19</v>
      </c>
      <c r="E10" s="3" t="n">
        <v>15</v>
      </c>
      <c r="F10" s="17" t="n">
        <v>400000</v>
      </c>
    </row>
    <row r="11" customFormat="false" ht="15" hidden="false" customHeight="false" outlineLevel="0" collapsed="false">
      <c r="A11" s="3" t="s">
        <v>171</v>
      </c>
      <c r="B11" s="3" t="s">
        <v>9</v>
      </c>
      <c r="C11" s="3" t="s">
        <v>53</v>
      </c>
      <c r="D11" s="3" t="s">
        <v>19</v>
      </c>
      <c r="E11" s="3" t="n">
        <v>10</v>
      </c>
      <c r="F11" s="17" t="n">
        <v>300000</v>
      </c>
    </row>
    <row r="12" customFormat="false" ht="15" hidden="false" customHeight="false" outlineLevel="0" collapsed="false">
      <c r="A12" s="3" t="s">
        <v>172</v>
      </c>
      <c r="B12" s="3" t="s">
        <v>9</v>
      </c>
      <c r="C12" s="3" t="s">
        <v>53</v>
      </c>
      <c r="D12" s="3" t="s">
        <v>11</v>
      </c>
      <c r="E12" s="3" t="n">
        <v>5</v>
      </c>
      <c r="F12" s="17" t="n">
        <v>1200000</v>
      </c>
    </row>
    <row r="13" customFormat="false" ht="15" hidden="false" customHeight="false" outlineLevel="0" collapsed="false">
      <c r="A13" s="3" t="s">
        <v>173</v>
      </c>
      <c r="B13" s="3" t="s">
        <v>9</v>
      </c>
      <c r="C13" s="3" t="s">
        <v>53</v>
      </c>
      <c r="D13" s="3" t="s">
        <v>11</v>
      </c>
      <c r="E13" s="3" t="n">
        <v>15</v>
      </c>
      <c r="F13" s="17" t="n">
        <v>350000</v>
      </c>
    </row>
    <row r="14" customFormat="false" ht="15" hidden="false" customHeight="false" outlineLevel="0" collapsed="false">
      <c r="A14" s="74" t="s">
        <v>244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</row>
    <row r="15" customFormat="false" ht="15" hidden="false" customHeight="false" outlineLevel="0" collapsed="false">
      <c r="A15" s="3" t="s">
        <v>176</v>
      </c>
      <c r="B15" s="3" t="s">
        <v>9</v>
      </c>
      <c r="C15" s="3" t="s">
        <v>120</v>
      </c>
      <c r="D15" s="3" t="s">
        <v>11</v>
      </c>
      <c r="E15" s="3" t="n">
        <v>10</v>
      </c>
      <c r="F15" s="17" t="n">
        <v>200000</v>
      </c>
    </row>
    <row r="16" customFormat="false" ht="15" hidden="false" customHeight="false" outlineLevel="0" collapsed="false">
      <c r="A16" s="3" t="s">
        <v>177</v>
      </c>
      <c r="B16" s="3" t="s">
        <v>9</v>
      </c>
      <c r="C16" s="3" t="s">
        <v>120</v>
      </c>
      <c r="D16" s="3" t="s">
        <v>19</v>
      </c>
      <c r="E16" s="3" t="n">
        <v>10</v>
      </c>
      <c r="F16" s="17" t="n">
        <v>150000</v>
      </c>
    </row>
    <row r="17" customFormat="false" ht="15" hidden="false" customHeight="false" outlineLevel="0" collapsed="false">
      <c r="A17" s="3" t="s">
        <v>178</v>
      </c>
      <c r="B17" s="3" t="s">
        <v>9</v>
      </c>
      <c r="C17" s="3" t="s">
        <v>120</v>
      </c>
      <c r="D17" s="3" t="s">
        <v>11</v>
      </c>
      <c r="E17" s="3" t="n">
        <v>15</v>
      </c>
      <c r="F17" s="17" t="n">
        <v>391000</v>
      </c>
    </row>
    <row r="18" customFormat="false" ht="15" hidden="false" customHeight="false" outlineLevel="0" collapsed="false">
      <c r="A18" s="3" t="s">
        <v>179</v>
      </c>
      <c r="B18" s="3" t="s">
        <v>9</v>
      </c>
      <c r="C18" s="3" t="s">
        <v>120</v>
      </c>
      <c r="D18" s="3" t="s">
        <v>11</v>
      </c>
      <c r="E18" s="3" t="n">
        <v>20</v>
      </c>
      <c r="F18" s="17" t="n">
        <v>2000000</v>
      </c>
    </row>
    <row r="19" customFormat="false" ht="15" hidden="false" customHeight="false" outlineLevel="0" collapsed="false">
      <c r="A19" s="3" t="s">
        <v>180</v>
      </c>
      <c r="B19" s="3" t="s">
        <v>9</v>
      </c>
      <c r="C19" s="3" t="s">
        <v>120</v>
      </c>
      <c r="D19" s="3" t="s">
        <v>11</v>
      </c>
      <c r="E19" s="3" t="n">
        <v>15</v>
      </c>
      <c r="F19" s="17" t="n">
        <v>800000</v>
      </c>
    </row>
    <row r="20" customFormat="false" ht="15" hidden="false" customHeight="false" outlineLevel="0" collapsed="false">
      <c r="A20" s="3" t="s">
        <v>181</v>
      </c>
      <c r="B20" s="3" t="s">
        <v>9</v>
      </c>
      <c r="C20" s="3" t="s">
        <v>120</v>
      </c>
      <c r="D20" s="3" t="s">
        <v>11</v>
      </c>
      <c r="E20" s="3" t="n">
        <v>15</v>
      </c>
      <c r="F20" s="17" t="n">
        <v>500000</v>
      </c>
    </row>
    <row r="21" customFormat="false" ht="15" hidden="false" customHeight="false" outlineLevel="0" collapsed="false">
      <c r="A21" s="3" t="s">
        <v>182</v>
      </c>
      <c r="B21" s="3" t="s">
        <v>9</v>
      </c>
      <c r="C21" s="3" t="s">
        <v>120</v>
      </c>
      <c r="D21" s="3" t="s">
        <v>11</v>
      </c>
      <c r="E21" s="3" t="n">
        <v>20</v>
      </c>
      <c r="F21" s="17" t="n">
        <v>850000</v>
      </c>
    </row>
    <row r="22" customFormat="false" ht="15" hidden="false" customHeight="false" outlineLevel="0" collapsed="false">
      <c r="A22" s="3" t="s">
        <v>183</v>
      </c>
      <c r="B22" s="3" t="s">
        <v>9</v>
      </c>
      <c r="C22" s="3" t="s">
        <v>120</v>
      </c>
      <c r="D22" s="3" t="s">
        <v>11</v>
      </c>
      <c r="E22" s="3" t="n">
        <v>20</v>
      </c>
      <c r="F22" s="17" t="n">
        <v>650000</v>
      </c>
    </row>
    <row r="23" customFormat="false" ht="15" hidden="false" customHeight="false" outlineLevel="0" collapsed="false">
      <c r="A23" s="74" t="s">
        <v>245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</row>
    <row r="24" customFormat="false" ht="15" hidden="false" customHeight="false" outlineLevel="0" collapsed="false">
      <c r="A24" s="3" t="s">
        <v>186</v>
      </c>
      <c r="B24" s="3" t="s">
        <v>9</v>
      </c>
      <c r="C24" s="3" t="s">
        <v>59</v>
      </c>
      <c r="D24" s="3" t="s">
        <v>11</v>
      </c>
      <c r="E24" s="3" t="n">
        <v>5</v>
      </c>
      <c r="F24" s="17" t="n">
        <v>250000</v>
      </c>
    </row>
    <row r="25" customFormat="false" ht="15" hidden="false" customHeight="false" outlineLevel="0" collapsed="false">
      <c r="A25" s="3" t="s">
        <v>187</v>
      </c>
      <c r="B25" s="3" t="s">
        <v>9</v>
      </c>
      <c r="C25" s="3" t="s">
        <v>59</v>
      </c>
      <c r="D25" s="3" t="s">
        <v>11</v>
      </c>
      <c r="E25" s="3" t="n">
        <v>10</v>
      </c>
      <c r="F25" s="17" t="n">
        <v>320000</v>
      </c>
    </row>
    <row r="26" customFormat="false" ht="15" hidden="false" customHeight="false" outlineLevel="0" collapsed="false">
      <c r="A26" s="74" t="s">
        <v>246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</row>
    <row r="27" customFormat="false" ht="15" hidden="false" customHeight="false" outlineLevel="0" collapsed="false">
      <c r="A27" s="3" t="s">
        <v>205</v>
      </c>
      <c r="B27" s="3" t="s">
        <v>17</v>
      </c>
      <c r="C27" s="3" t="s">
        <v>54</v>
      </c>
      <c r="D27" s="3" t="s">
        <v>11</v>
      </c>
      <c r="E27" s="3" t="n">
        <v>5</v>
      </c>
      <c r="F27" s="17" t="n">
        <v>13500000</v>
      </c>
    </row>
    <row r="28" customFormat="false" ht="15" hidden="false" customHeight="false" outlineLevel="0" collapsed="false">
      <c r="A28" s="3" t="s">
        <v>206</v>
      </c>
      <c r="B28" s="3" t="s">
        <v>17</v>
      </c>
      <c r="C28" s="3" t="s">
        <v>54</v>
      </c>
      <c r="D28" s="3" t="s">
        <v>11</v>
      </c>
      <c r="E28" s="3" t="n">
        <v>5</v>
      </c>
      <c r="F28" s="17" t="n">
        <v>4130000</v>
      </c>
    </row>
    <row r="29" customFormat="false" ht="15" hidden="false" customHeight="false" outlineLevel="0" collapsed="false">
      <c r="A29" s="3" t="s">
        <v>207</v>
      </c>
      <c r="B29" s="3" t="s">
        <v>17</v>
      </c>
      <c r="C29" s="3" t="s">
        <v>54</v>
      </c>
      <c r="D29" s="3" t="s">
        <v>19</v>
      </c>
      <c r="E29" s="3" t="n">
        <v>15</v>
      </c>
      <c r="F29" s="17" t="n">
        <v>350000</v>
      </c>
    </row>
    <row r="30" customFormat="false" ht="15" hidden="false" customHeight="false" outlineLevel="0" collapsed="false">
      <c r="A30" s="74" t="s">
        <v>247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</row>
    <row r="31" customFormat="false" ht="15" hidden="false" customHeight="false" outlineLevel="0" collapsed="false">
      <c r="A31" s="3" t="s">
        <v>210</v>
      </c>
      <c r="B31" s="3" t="s">
        <v>17</v>
      </c>
      <c r="C31" s="3" t="s">
        <v>248</v>
      </c>
      <c r="D31" s="3" t="s">
        <v>11</v>
      </c>
      <c r="E31" s="3" t="n">
        <v>30</v>
      </c>
      <c r="F31" s="17" t="n">
        <v>2000000</v>
      </c>
    </row>
    <row r="32" customFormat="false" ht="15" hidden="false" customHeight="false" outlineLevel="0" collapsed="false">
      <c r="A32" s="3" t="s">
        <v>211</v>
      </c>
      <c r="B32" s="3" t="s">
        <v>17</v>
      </c>
      <c r="C32" s="3" t="s">
        <v>248</v>
      </c>
      <c r="D32" s="3" t="s">
        <v>11</v>
      </c>
      <c r="E32" s="3" t="n">
        <v>30</v>
      </c>
      <c r="F32" s="17" t="n">
        <v>1800000</v>
      </c>
    </row>
    <row r="33" customFormat="false" ht="15" hidden="false" customHeight="false" outlineLevel="0" collapsed="false">
      <c r="A33" s="3" t="s">
        <v>212</v>
      </c>
      <c r="B33" s="3" t="s">
        <v>17</v>
      </c>
      <c r="C33" s="3" t="s">
        <v>248</v>
      </c>
      <c r="D33" s="3" t="s">
        <v>19</v>
      </c>
      <c r="E33" s="3" t="n">
        <v>5</v>
      </c>
      <c r="F33" s="17" t="n">
        <v>500000</v>
      </c>
    </row>
    <row r="34" customFormat="false" ht="15" hidden="false" customHeight="false" outlineLevel="0" collapsed="false">
      <c r="A34" s="3" t="s">
        <v>213</v>
      </c>
      <c r="B34" s="3" t="s">
        <v>17</v>
      </c>
      <c r="C34" s="3" t="s">
        <v>248</v>
      </c>
      <c r="D34" s="3" t="s">
        <v>11</v>
      </c>
      <c r="E34" s="3" t="n">
        <v>30</v>
      </c>
      <c r="F34" s="17" t="n">
        <v>5000000</v>
      </c>
    </row>
    <row r="35" customFormat="false" ht="15" hidden="false" customHeight="false" outlineLevel="0" collapsed="false">
      <c r="A35" s="3" t="s">
        <v>214</v>
      </c>
      <c r="B35" s="3" t="s">
        <v>17</v>
      </c>
      <c r="C35" s="3" t="s">
        <v>248</v>
      </c>
      <c r="D35" s="3" t="s">
        <v>11</v>
      </c>
      <c r="E35" s="3" t="n">
        <v>5</v>
      </c>
      <c r="F35" s="17" t="n">
        <v>300000</v>
      </c>
    </row>
    <row r="36" customFormat="false" ht="15" hidden="false" customHeight="false" outlineLevel="0" collapsed="false">
      <c r="A36" s="74" t="s">
        <v>249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</row>
    <row r="37" customFormat="false" ht="15" hidden="false" customHeight="false" outlineLevel="0" collapsed="false">
      <c r="A37" s="3" t="s">
        <v>217</v>
      </c>
      <c r="B37" s="3" t="s">
        <v>17</v>
      </c>
      <c r="C37" s="3" t="s">
        <v>58</v>
      </c>
      <c r="D37" s="3" t="s">
        <v>11</v>
      </c>
      <c r="E37" s="3" t="n">
        <v>10</v>
      </c>
      <c r="F37" s="17" t="n">
        <v>100000</v>
      </c>
    </row>
    <row r="38" customFormat="false" ht="15" hidden="false" customHeight="false" outlineLevel="0" collapsed="false">
      <c r="A38" s="3" t="s">
        <v>218</v>
      </c>
      <c r="B38" s="3" t="s">
        <v>17</v>
      </c>
      <c r="C38" s="3" t="s">
        <v>58</v>
      </c>
      <c r="D38" s="3" t="s">
        <v>11</v>
      </c>
      <c r="E38" s="3" t="n">
        <v>10</v>
      </c>
      <c r="F38" s="17" t="n">
        <v>100000</v>
      </c>
    </row>
    <row r="39" customFormat="false" ht="15" hidden="false" customHeight="false" outlineLevel="0" collapsed="false">
      <c r="A39" s="3" t="s">
        <v>219</v>
      </c>
      <c r="B39" s="3" t="s">
        <v>17</v>
      </c>
      <c r="C39" s="3" t="s">
        <v>58</v>
      </c>
      <c r="D39" s="3" t="s">
        <v>11</v>
      </c>
      <c r="E39" s="3" t="n">
        <v>5</v>
      </c>
      <c r="F39" s="17" t="n">
        <v>150000</v>
      </c>
    </row>
    <row r="40" customFormat="false" ht="15" hidden="false" customHeight="false" outlineLevel="0" collapsed="false">
      <c r="A40" s="3" t="s">
        <v>220</v>
      </c>
      <c r="B40" s="3" t="s">
        <v>17</v>
      </c>
      <c r="C40" s="3" t="s">
        <v>58</v>
      </c>
      <c r="D40" s="3" t="s">
        <v>11</v>
      </c>
      <c r="E40" s="3" t="n">
        <v>10</v>
      </c>
      <c r="F40" s="17" t="n">
        <v>200000</v>
      </c>
    </row>
    <row r="41" customFormat="false" ht="15" hidden="false" customHeight="false" outlineLevel="0" collapsed="false">
      <c r="A41" s="74" t="s">
        <v>250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</row>
    <row r="42" customFormat="false" ht="15" hidden="false" customHeight="false" outlineLevel="0" collapsed="false">
      <c r="A42" s="3" t="s">
        <v>223</v>
      </c>
      <c r="B42" s="3" t="s">
        <v>17</v>
      </c>
      <c r="C42" s="3" t="s">
        <v>57</v>
      </c>
      <c r="D42" s="3" t="s">
        <v>19</v>
      </c>
      <c r="E42" s="3" t="n">
        <v>20</v>
      </c>
      <c r="F42" s="17" t="n">
        <v>1500000</v>
      </c>
    </row>
    <row r="43" customFormat="false" ht="15" hidden="false" customHeight="false" outlineLevel="0" collapsed="false">
      <c r="A43" s="3" t="s">
        <v>224</v>
      </c>
      <c r="B43" s="3" t="s">
        <v>17</v>
      </c>
      <c r="C43" s="3" t="s">
        <v>57</v>
      </c>
      <c r="D43" s="3" t="s">
        <v>11</v>
      </c>
      <c r="E43" s="3" t="n">
        <v>15</v>
      </c>
      <c r="F43" s="17" t="n">
        <v>800000</v>
      </c>
    </row>
  </sheetData>
  <mergeCells count="8">
    <mergeCell ref="A1:R1"/>
    <mergeCell ref="A5:R5"/>
    <mergeCell ref="A14:R14"/>
    <mergeCell ref="A23:R23"/>
    <mergeCell ref="A26:R26"/>
    <mergeCell ref="A30:R30"/>
    <mergeCell ref="A36:R36"/>
    <mergeCell ref="A41:R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75" t="s">
        <v>251</v>
      </c>
      <c r="B1" s="75"/>
      <c r="C1" s="75"/>
      <c r="D1" s="75"/>
      <c r="E1" s="75"/>
      <c r="F1" s="75"/>
      <c r="G1" s="75"/>
      <c r="H1" s="75"/>
    </row>
    <row r="2" customFormat="false" ht="15" hidden="false" customHeight="false" outlineLevel="0" collapsed="false">
      <c r="A2" s="71" t="s">
        <v>252</v>
      </c>
    </row>
    <row r="3" customFormat="false" ht="15" hidden="false" customHeight="false" outlineLevel="0" collapsed="false">
      <c r="A3" s="23" t="s">
        <v>65</v>
      </c>
      <c r="B3" s="76" t="s">
        <v>14</v>
      </c>
    </row>
    <row r="5" customFormat="false" ht="15" hidden="false" customHeight="false" outlineLevel="0" collapsed="false">
      <c r="A5" s="50" t="s">
        <v>253</v>
      </c>
      <c r="B5" s="50" t="s">
        <v>1</v>
      </c>
      <c r="C5" s="50" t="s">
        <v>240</v>
      </c>
      <c r="D5" s="50" t="s">
        <v>141</v>
      </c>
      <c r="E5" s="50" t="s">
        <v>254</v>
      </c>
      <c r="F5" s="50" t="s">
        <v>255</v>
      </c>
      <c r="G5" s="50" t="s">
        <v>256</v>
      </c>
      <c r="H5" s="50" t="s">
        <v>257</v>
      </c>
    </row>
    <row r="6" customFormat="false" ht="15" hidden="false" customHeight="false" outlineLevel="0" collapsed="false">
      <c r="A6" s="77"/>
      <c r="B6" s="78"/>
      <c r="C6" s="78"/>
      <c r="D6" s="78"/>
      <c r="E6" s="78"/>
      <c r="F6" s="18"/>
      <c r="G6" s="78"/>
      <c r="H6" s="78"/>
    </row>
    <row r="7" customFormat="false" ht="15" hidden="false" customHeight="false" outlineLevel="0" collapsed="false">
      <c r="A7" s="77"/>
      <c r="B7" s="78"/>
      <c r="C7" s="78"/>
      <c r="D7" s="78"/>
      <c r="E7" s="78"/>
      <c r="F7" s="18"/>
      <c r="G7" s="78"/>
      <c r="H7" s="78"/>
    </row>
    <row r="8" customFormat="false" ht="15" hidden="false" customHeight="false" outlineLevel="0" collapsed="false">
      <c r="A8" s="77"/>
      <c r="B8" s="78"/>
      <c r="C8" s="78"/>
      <c r="D8" s="78"/>
      <c r="E8" s="78"/>
      <c r="F8" s="18"/>
      <c r="G8" s="78"/>
      <c r="H8" s="78"/>
    </row>
    <row r="9" customFormat="false" ht="15" hidden="false" customHeight="false" outlineLevel="0" collapsed="false">
      <c r="A9" s="77"/>
      <c r="B9" s="78"/>
      <c r="C9" s="78"/>
      <c r="D9" s="78"/>
      <c r="E9" s="78"/>
      <c r="F9" s="18"/>
      <c r="G9" s="78"/>
      <c r="H9" s="78"/>
    </row>
    <row r="10" customFormat="false" ht="15" hidden="false" customHeight="false" outlineLevel="0" collapsed="false">
      <c r="A10" s="77"/>
      <c r="B10" s="78"/>
      <c r="C10" s="78"/>
      <c r="D10" s="78"/>
      <c r="E10" s="78"/>
      <c r="F10" s="18"/>
      <c r="G10" s="78"/>
      <c r="H10" s="78"/>
    </row>
    <row r="11" customFormat="false" ht="15" hidden="false" customHeight="false" outlineLevel="0" collapsed="false">
      <c r="A11" s="77"/>
      <c r="B11" s="78"/>
      <c r="C11" s="78"/>
      <c r="D11" s="78"/>
      <c r="E11" s="78"/>
      <c r="F11" s="18"/>
      <c r="G11" s="78"/>
      <c r="H11" s="78"/>
    </row>
    <row r="12" customFormat="false" ht="15" hidden="false" customHeight="false" outlineLevel="0" collapsed="false">
      <c r="A12" s="77"/>
      <c r="B12" s="78"/>
      <c r="C12" s="78"/>
      <c r="D12" s="78"/>
      <c r="E12" s="78"/>
      <c r="F12" s="18"/>
      <c r="G12" s="78"/>
      <c r="H12" s="78"/>
    </row>
    <row r="13" customFormat="false" ht="15" hidden="false" customHeight="false" outlineLevel="0" collapsed="false">
      <c r="A13" s="77"/>
      <c r="B13" s="78"/>
      <c r="C13" s="78"/>
      <c r="D13" s="78"/>
      <c r="E13" s="78"/>
      <c r="F13" s="18"/>
      <c r="G13" s="78"/>
      <c r="H13" s="78"/>
    </row>
    <row r="14" customFormat="false" ht="15" hidden="false" customHeight="false" outlineLevel="0" collapsed="false">
      <c r="A14" s="77"/>
      <c r="B14" s="78"/>
      <c r="C14" s="78"/>
      <c r="D14" s="78"/>
      <c r="E14" s="78"/>
      <c r="F14" s="18"/>
      <c r="G14" s="78"/>
      <c r="H14" s="78"/>
    </row>
    <row r="15" customFormat="false" ht="15" hidden="false" customHeight="false" outlineLevel="0" collapsed="false">
      <c r="A15" s="77"/>
      <c r="B15" s="78"/>
      <c r="C15" s="78"/>
      <c r="D15" s="78"/>
      <c r="E15" s="78"/>
      <c r="F15" s="18"/>
      <c r="G15" s="78"/>
      <c r="H15" s="78"/>
    </row>
    <row r="16" customFormat="false" ht="15" hidden="false" customHeight="false" outlineLevel="0" collapsed="false">
      <c r="A16" s="77"/>
      <c r="B16" s="78"/>
      <c r="C16" s="78"/>
      <c r="D16" s="78"/>
      <c r="E16" s="78"/>
      <c r="F16" s="18"/>
      <c r="G16" s="78"/>
      <c r="H16" s="78"/>
    </row>
    <row r="17" customFormat="false" ht="15" hidden="false" customHeight="false" outlineLevel="0" collapsed="false">
      <c r="A17" s="77"/>
      <c r="B17" s="78"/>
      <c r="C17" s="78"/>
      <c r="D17" s="78"/>
      <c r="E17" s="78"/>
      <c r="F17" s="18"/>
      <c r="G17" s="78"/>
      <c r="H17" s="78"/>
    </row>
    <row r="18" customFormat="false" ht="15" hidden="false" customHeight="false" outlineLevel="0" collapsed="false">
      <c r="A18" s="77"/>
      <c r="B18" s="78"/>
      <c r="C18" s="78"/>
      <c r="D18" s="78"/>
      <c r="E18" s="78"/>
      <c r="F18" s="18"/>
      <c r="G18" s="78"/>
      <c r="H18" s="78"/>
    </row>
    <row r="19" customFormat="false" ht="15" hidden="false" customHeight="false" outlineLevel="0" collapsed="false">
      <c r="A19" s="77"/>
      <c r="B19" s="78"/>
      <c r="C19" s="78"/>
      <c r="D19" s="78"/>
      <c r="E19" s="78"/>
      <c r="F19" s="18"/>
      <c r="G19" s="78"/>
      <c r="H19" s="78"/>
    </row>
    <row r="20" customFormat="false" ht="15" hidden="false" customHeight="false" outlineLevel="0" collapsed="false">
      <c r="A20" s="77"/>
      <c r="B20" s="78"/>
      <c r="C20" s="78"/>
      <c r="D20" s="78"/>
      <c r="E20" s="78"/>
      <c r="F20" s="18"/>
      <c r="G20" s="78"/>
      <c r="H20" s="78"/>
    </row>
    <row r="21" customFormat="false" ht="15" hidden="false" customHeight="false" outlineLevel="0" collapsed="false">
      <c r="A21" s="77"/>
      <c r="B21" s="78"/>
      <c r="C21" s="78"/>
      <c r="D21" s="78"/>
      <c r="E21" s="78"/>
      <c r="F21" s="18"/>
      <c r="G21" s="78"/>
      <c r="H21" s="78"/>
    </row>
    <row r="22" customFormat="false" ht="15" hidden="false" customHeight="false" outlineLevel="0" collapsed="false">
      <c r="A22" s="77"/>
      <c r="B22" s="78"/>
      <c r="C22" s="78"/>
      <c r="D22" s="78"/>
      <c r="E22" s="78"/>
      <c r="F22" s="18"/>
      <c r="G22" s="78"/>
      <c r="H22" s="78"/>
    </row>
    <row r="23" customFormat="false" ht="15" hidden="false" customHeight="false" outlineLevel="0" collapsed="false">
      <c r="A23" s="77"/>
      <c r="B23" s="78"/>
      <c r="C23" s="78"/>
      <c r="D23" s="78"/>
      <c r="E23" s="78"/>
      <c r="F23" s="18"/>
      <c r="G23" s="78"/>
      <c r="H23" s="78"/>
    </row>
    <row r="24" customFormat="false" ht="15" hidden="false" customHeight="false" outlineLevel="0" collapsed="false">
      <c r="A24" s="77"/>
      <c r="B24" s="78"/>
      <c r="C24" s="78"/>
      <c r="D24" s="78"/>
      <c r="E24" s="78"/>
      <c r="F24" s="18"/>
      <c r="G24" s="78"/>
      <c r="H24" s="78"/>
    </row>
    <row r="25" customFormat="false" ht="15" hidden="false" customHeight="false" outlineLevel="0" collapsed="false">
      <c r="A25" s="77"/>
      <c r="B25" s="78"/>
      <c r="C25" s="78"/>
      <c r="D25" s="78"/>
      <c r="E25" s="78"/>
      <c r="F25" s="18"/>
      <c r="G25" s="78"/>
      <c r="H25" s="78"/>
    </row>
    <row r="26" customFormat="false" ht="15" hidden="false" customHeight="false" outlineLevel="0" collapsed="false">
      <c r="A26" s="77"/>
      <c r="B26" s="78"/>
      <c r="C26" s="78"/>
      <c r="D26" s="78"/>
      <c r="E26" s="78"/>
      <c r="F26" s="18"/>
      <c r="G26" s="78"/>
      <c r="H26" s="78"/>
    </row>
    <row r="27" customFormat="false" ht="15" hidden="false" customHeight="false" outlineLevel="0" collapsed="false">
      <c r="A27" s="77"/>
      <c r="B27" s="78"/>
      <c r="C27" s="78"/>
      <c r="D27" s="78"/>
      <c r="E27" s="78"/>
      <c r="F27" s="18"/>
      <c r="G27" s="78"/>
      <c r="H27" s="78"/>
    </row>
    <row r="28" customFormat="false" ht="15" hidden="false" customHeight="false" outlineLevel="0" collapsed="false">
      <c r="A28" s="77"/>
      <c r="B28" s="78"/>
      <c r="C28" s="78"/>
      <c r="D28" s="78"/>
      <c r="E28" s="78"/>
      <c r="F28" s="18"/>
      <c r="G28" s="78"/>
      <c r="H28" s="78"/>
    </row>
    <row r="29" customFormat="false" ht="15" hidden="false" customHeight="false" outlineLevel="0" collapsed="false">
      <c r="A29" s="77"/>
      <c r="B29" s="78"/>
      <c r="C29" s="78"/>
      <c r="D29" s="78"/>
      <c r="E29" s="78"/>
      <c r="F29" s="18"/>
      <c r="G29" s="78"/>
      <c r="H29" s="78"/>
    </row>
    <row r="30" customFormat="false" ht="15" hidden="false" customHeight="false" outlineLevel="0" collapsed="false">
      <c r="A30" s="77"/>
      <c r="B30" s="78"/>
      <c r="C30" s="78"/>
      <c r="D30" s="78"/>
      <c r="E30" s="78"/>
      <c r="F30" s="18"/>
      <c r="G30" s="78"/>
      <c r="H30" s="78"/>
    </row>
    <row r="31" customFormat="false" ht="15" hidden="false" customHeight="false" outlineLevel="0" collapsed="false">
      <c r="A31" s="77"/>
      <c r="B31" s="78"/>
      <c r="C31" s="78"/>
      <c r="D31" s="78"/>
      <c r="E31" s="78"/>
      <c r="F31" s="18"/>
      <c r="G31" s="78"/>
      <c r="H31" s="78"/>
    </row>
    <row r="32" customFormat="false" ht="15" hidden="false" customHeight="false" outlineLevel="0" collapsed="false">
      <c r="A32" s="77"/>
      <c r="B32" s="78"/>
      <c r="C32" s="78"/>
      <c r="D32" s="78"/>
      <c r="E32" s="78"/>
      <c r="F32" s="18"/>
      <c r="G32" s="78"/>
      <c r="H32" s="78"/>
    </row>
    <row r="33" customFormat="false" ht="15" hidden="false" customHeight="false" outlineLevel="0" collapsed="false">
      <c r="A33" s="77"/>
      <c r="B33" s="78"/>
      <c r="C33" s="78"/>
      <c r="D33" s="78"/>
      <c r="E33" s="78"/>
      <c r="F33" s="18"/>
      <c r="G33" s="78"/>
      <c r="H33" s="78"/>
    </row>
    <row r="34" customFormat="false" ht="15" hidden="false" customHeight="false" outlineLevel="0" collapsed="false">
      <c r="A34" s="77"/>
      <c r="B34" s="78"/>
      <c r="C34" s="78"/>
      <c r="D34" s="78"/>
      <c r="E34" s="78"/>
      <c r="F34" s="18"/>
      <c r="G34" s="78"/>
      <c r="H34" s="78"/>
    </row>
    <row r="35" customFormat="false" ht="15" hidden="false" customHeight="false" outlineLevel="0" collapsed="false">
      <c r="A35" s="77"/>
      <c r="B35" s="78"/>
      <c r="C35" s="78"/>
      <c r="D35" s="78"/>
      <c r="E35" s="78"/>
      <c r="F35" s="18"/>
      <c r="G35" s="78"/>
      <c r="H35" s="78"/>
    </row>
    <row r="36" customFormat="false" ht="15" hidden="false" customHeight="false" outlineLevel="0" collapsed="false">
      <c r="A36" s="77"/>
      <c r="B36" s="78"/>
      <c r="C36" s="78"/>
      <c r="D36" s="78"/>
      <c r="E36" s="78"/>
      <c r="F36" s="18"/>
      <c r="G36" s="78"/>
      <c r="H36" s="78"/>
    </row>
    <row r="37" customFormat="false" ht="15" hidden="false" customHeight="false" outlineLevel="0" collapsed="false">
      <c r="A37" s="77"/>
      <c r="B37" s="78"/>
      <c r="C37" s="78"/>
      <c r="D37" s="78"/>
      <c r="E37" s="78"/>
      <c r="F37" s="18"/>
      <c r="G37" s="78"/>
      <c r="H37" s="78"/>
    </row>
    <row r="38" customFormat="false" ht="15" hidden="false" customHeight="false" outlineLevel="0" collapsed="false">
      <c r="A38" s="77"/>
      <c r="B38" s="78"/>
      <c r="C38" s="78"/>
      <c r="D38" s="78"/>
      <c r="E38" s="78"/>
      <c r="F38" s="18"/>
      <c r="G38" s="78"/>
      <c r="H38" s="78"/>
    </row>
    <row r="39" customFormat="false" ht="15" hidden="false" customHeight="false" outlineLevel="0" collapsed="false">
      <c r="A39" s="77"/>
      <c r="B39" s="78"/>
      <c r="C39" s="78"/>
      <c r="D39" s="78"/>
      <c r="E39" s="78"/>
      <c r="F39" s="18"/>
      <c r="G39" s="78"/>
      <c r="H39" s="78"/>
    </row>
    <row r="40" customFormat="false" ht="15" hidden="false" customHeight="false" outlineLevel="0" collapsed="false">
      <c r="A40" s="77"/>
      <c r="B40" s="78"/>
      <c r="C40" s="78"/>
      <c r="D40" s="78"/>
      <c r="E40" s="78"/>
      <c r="F40" s="18"/>
      <c r="G40" s="78"/>
      <c r="H40" s="78"/>
    </row>
    <row r="41" customFormat="false" ht="15" hidden="false" customHeight="false" outlineLevel="0" collapsed="false">
      <c r="A41" s="77"/>
      <c r="B41" s="78"/>
      <c r="C41" s="78"/>
      <c r="D41" s="78"/>
      <c r="E41" s="78"/>
      <c r="F41" s="18"/>
      <c r="G41" s="78"/>
      <c r="H41" s="78"/>
    </row>
    <row r="42" customFormat="false" ht="15" hidden="false" customHeight="false" outlineLevel="0" collapsed="false">
      <c r="A42" s="77"/>
      <c r="B42" s="78"/>
      <c r="C42" s="78"/>
      <c r="D42" s="78"/>
      <c r="E42" s="78"/>
      <c r="F42" s="18"/>
      <c r="G42" s="78"/>
      <c r="H42" s="78"/>
    </row>
    <row r="43" customFormat="false" ht="15" hidden="false" customHeight="false" outlineLevel="0" collapsed="false">
      <c r="A43" s="77"/>
      <c r="B43" s="78"/>
      <c r="C43" s="78"/>
      <c r="D43" s="78"/>
      <c r="E43" s="78"/>
      <c r="F43" s="18"/>
      <c r="G43" s="78"/>
      <c r="H43" s="78"/>
    </row>
    <row r="44" customFormat="false" ht="15" hidden="false" customHeight="false" outlineLevel="0" collapsed="false">
      <c r="A44" s="77"/>
      <c r="B44" s="78"/>
      <c r="C44" s="78"/>
      <c r="D44" s="78"/>
      <c r="E44" s="78"/>
      <c r="F44" s="18"/>
      <c r="G44" s="78"/>
      <c r="H44" s="78"/>
    </row>
    <row r="45" customFormat="false" ht="15" hidden="false" customHeight="false" outlineLevel="0" collapsed="false">
      <c r="A45" s="77"/>
      <c r="B45" s="78"/>
      <c r="C45" s="78"/>
      <c r="D45" s="78"/>
      <c r="E45" s="78"/>
      <c r="F45" s="18"/>
      <c r="G45" s="78"/>
      <c r="H45" s="78"/>
    </row>
    <row r="46" customFormat="false" ht="15" hidden="false" customHeight="false" outlineLevel="0" collapsed="false">
      <c r="A46" s="77"/>
      <c r="B46" s="78"/>
      <c r="C46" s="78"/>
      <c r="D46" s="78"/>
      <c r="E46" s="78"/>
      <c r="F46" s="18"/>
      <c r="G46" s="78"/>
      <c r="H46" s="78"/>
    </row>
    <row r="47" customFormat="false" ht="15" hidden="false" customHeight="false" outlineLevel="0" collapsed="false">
      <c r="A47" s="77"/>
      <c r="B47" s="78"/>
      <c r="C47" s="78"/>
      <c r="D47" s="78"/>
      <c r="E47" s="78"/>
      <c r="F47" s="18"/>
      <c r="G47" s="78"/>
      <c r="H47" s="78"/>
    </row>
    <row r="48" customFormat="false" ht="15" hidden="false" customHeight="false" outlineLevel="0" collapsed="false">
      <c r="A48" s="77"/>
      <c r="B48" s="78"/>
      <c r="C48" s="78"/>
      <c r="D48" s="78"/>
      <c r="E48" s="78"/>
      <c r="F48" s="18"/>
      <c r="G48" s="78"/>
      <c r="H48" s="78"/>
    </row>
    <row r="49" customFormat="false" ht="15" hidden="false" customHeight="false" outlineLevel="0" collapsed="false">
      <c r="A49" s="77"/>
      <c r="B49" s="78"/>
      <c r="C49" s="78"/>
      <c r="D49" s="78"/>
      <c r="E49" s="78"/>
      <c r="F49" s="18"/>
      <c r="G49" s="78"/>
      <c r="H49" s="78"/>
    </row>
    <row r="50" customFormat="false" ht="15" hidden="false" customHeight="false" outlineLevel="0" collapsed="false">
      <c r="A50" s="77"/>
      <c r="B50" s="78"/>
      <c r="C50" s="78"/>
      <c r="D50" s="78"/>
      <c r="E50" s="78"/>
      <c r="F50" s="18"/>
      <c r="G50" s="78"/>
      <c r="H50" s="78"/>
    </row>
    <row r="51" customFormat="false" ht="15" hidden="false" customHeight="false" outlineLevel="0" collapsed="false">
      <c r="A51" s="77"/>
      <c r="B51" s="78"/>
      <c r="C51" s="78"/>
      <c r="D51" s="78"/>
      <c r="E51" s="78"/>
      <c r="F51" s="18"/>
      <c r="G51" s="78"/>
      <c r="H51" s="78"/>
    </row>
    <row r="52" customFormat="false" ht="15" hidden="false" customHeight="false" outlineLevel="0" collapsed="false">
      <c r="A52" s="77"/>
      <c r="B52" s="78"/>
      <c r="C52" s="78"/>
      <c r="D52" s="78"/>
      <c r="E52" s="78"/>
      <c r="F52" s="18"/>
      <c r="G52" s="78"/>
      <c r="H52" s="78"/>
    </row>
    <row r="53" customFormat="false" ht="15" hidden="false" customHeight="false" outlineLevel="0" collapsed="false">
      <c r="A53" s="77"/>
      <c r="B53" s="78"/>
      <c r="C53" s="78"/>
      <c r="D53" s="78"/>
      <c r="E53" s="78"/>
      <c r="F53" s="18"/>
      <c r="G53" s="78"/>
      <c r="H53" s="78"/>
    </row>
    <row r="54" customFormat="false" ht="15" hidden="false" customHeight="false" outlineLevel="0" collapsed="false">
      <c r="A54" s="77"/>
      <c r="B54" s="78"/>
      <c r="C54" s="78"/>
      <c r="D54" s="78"/>
      <c r="E54" s="78"/>
      <c r="F54" s="18"/>
      <c r="G54" s="78"/>
      <c r="H54" s="78"/>
    </row>
    <row r="55" customFormat="false" ht="15" hidden="false" customHeight="false" outlineLevel="0" collapsed="false">
      <c r="A55" s="77"/>
      <c r="B55" s="78"/>
      <c r="C55" s="78"/>
      <c r="D55" s="78"/>
      <c r="E55" s="78"/>
      <c r="F55" s="18"/>
      <c r="G55" s="78"/>
      <c r="H55" s="78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2"/>
    <col collapsed="false" customWidth="true" hidden="false" outlineLevel="0" max="9" min="9" style="0" width="24"/>
    <col collapsed="false" customWidth="true" hidden="false" outlineLevel="0" max="10" min="10" style="0" width="5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7"/>
  </cols>
  <sheetData>
    <row r="1" customFormat="false" ht="30" hidden="false" customHeight="true" outlineLevel="0" collapsed="false">
      <c r="A1" s="1" t="s">
        <v>258</v>
      </c>
      <c r="B1" s="1"/>
      <c r="C1" s="1"/>
      <c r="D1" s="1"/>
      <c r="E1" s="1"/>
      <c r="F1" s="1"/>
      <c r="G1" s="1"/>
      <c r="I1" s="1" t="s">
        <v>258</v>
      </c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B2" s="23" t="s">
        <v>65</v>
      </c>
      <c r="C2" s="76" t="s">
        <v>14</v>
      </c>
    </row>
    <row r="3" customFormat="false" ht="15" hidden="false" customHeight="false" outlineLevel="0" collapsed="false">
      <c r="A3" s="10" t="s">
        <v>68</v>
      </c>
      <c r="B3" s="10"/>
      <c r="C3" s="10"/>
      <c r="D3" s="10"/>
      <c r="E3" s="10"/>
      <c r="F3" s="10"/>
      <c r="G3" s="10"/>
      <c r="I3" s="11" t="s">
        <v>69</v>
      </c>
      <c r="J3" s="11"/>
      <c r="K3" s="11"/>
      <c r="L3" s="11"/>
      <c r="M3" s="11"/>
      <c r="N3" s="11"/>
      <c r="O3" s="11"/>
    </row>
    <row r="4" customFormat="false" ht="15" hidden="false" customHeight="false" outlineLevel="0" collapsed="false">
      <c r="A4" s="14" t="s">
        <v>141</v>
      </c>
      <c r="B4" s="14" t="s">
        <v>241</v>
      </c>
      <c r="C4" s="14" t="s">
        <v>142</v>
      </c>
      <c r="D4" s="14" t="s">
        <v>259</v>
      </c>
      <c r="E4" s="14" t="s">
        <v>4</v>
      </c>
      <c r="F4" s="14" t="s">
        <v>260</v>
      </c>
      <c r="G4" s="14" t="s">
        <v>261</v>
      </c>
      <c r="I4" s="2" t="s">
        <v>141</v>
      </c>
      <c r="J4" s="2" t="s">
        <v>241</v>
      </c>
      <c r="K4" s="2" t="s">
        <v>142</v>
      </c>
      <c r="L4" s="2" t="s">
        <v>259</v>
      </c>
      <c r="M4" s="2" t="s">
        <v>4</v>
      </c>
      <c r="N4" s="2" t="s">
        <v>260</v>
      </c>
      <c r="O4" s="2" t="s">
        <v>261</v>
      </c>
    </row>
    <row r="5" customFormat="false" ht="15" hidden="false" customHeight="false" outlineLevel="0" collapsed="false">
      <c r="A5" s="4" t="s">
        <v>94</v>
      </c>
      <c r="B5" s="4"/>
      <c r="C5" s="4"/>
      <c r="D5" s="4"/>
      <c r="E5" s="4"/>
      <c r="F5" s="4"/>
      <c r="G5" s="4"/>
      <c r="I5" s="4" t="s">
        <v>199</v>
      </c>
      <c r="J5" s="4"/>
      <c r="K5" s="4"/>
      <c r="L5" s="4"/>
      <c r="M5" s="4"/>
      <c r="N5" s="4"/>
      <c r="O5" s="4"/>
    </row>
    <row r="6" customFormat="false" ht="15" hidden="false" customHeight="false" outlineLevel="0" collapsed="false">
      <c r="A6" s="3" t="s">
        <v>156</v>
      </c>
      <c r="B6" s="3" t="n">
        <v>30</v>
      </c>
      <c r="C6" s="3" t="s">
        <v>11</v>
      </c>
      <c r="D6" s="17" t="n">
        <v>8500000</v>
      </c>
      <c r="E6" s="3" t="s">
        <v>12</v>
      </c>
      <c r="F6" s="17" t="n">
        <v>8500000</v>
      </c>
      <c r="G6" s="31" t="n">
        <f aca="false">IF(F6=0,"-",D6/F6)</f>
        <v>1</v>
      </c>
      <c r="I6" s="3" t="s">
        <v>262</v>
      </c>
      <c r="J6" s="3"/>
      <c r="K6" s="3" t="s">
        <v>36</v>
      </c>
      <c r="L6" s="17" t="n">
        <v>0</v>
      </c>
      <c r="M6" s="3" t="s">
        <v>12</v>
      </c>
      <c r="N6" s="17" t="n">
        <v>25000000</v>
      </c>
      <c r="O6" s="31" t="n">
        <f aca="false">IF(N6=0,"-",L6/N6)</f>
        <v>0</v>
      </c>
    </row>
    <row r="7" customFormat="false" ht="15" hidden="false" customHeight="false" outlineLevel="0" collapsed="false">
      <c r="A7" s="3" t="s">
        <v>157</v>
      </c>
      <c r="B7" s="3" t="n">
        <v>30</v>
      </c>
      <c r="C7" s="3" t="s">
        <v>11</v>
      </c>
      <c r="D7" s="17" t="n">
        <v>5000000</v>
      </c>
      <c r="E7" s="3" t="s">
        <v>12</v>
      </c>
      <c r="F7" s="17" t="n">
        <v>5000000</v>
      </c>
      <c r="G7" s="31" t="n">
        <f aca="false">IF(F7=0,"-",D7/F7)</f>
        <v>1</v>
      </c>
      <c r="I7" s="3" t="s">
        <v>201</v>
      </c>
      <c r="J7" s="3"/>
      <c r="K7" s="3" t="s">
        <v>36</v>
      </c>
      <c r="L7" s="17" t="n">
        <v>0</v>
      </c>
      <c r="M7" s="3" t="s">
        <v>12</v>
      </c>
      <c r="N7" s="17" t="n">
        <v>5000000</v>
      </c>
      <c r="O7" s="31" t="n">
        <f aca="false">IF(N7=0,"-",L7/N7)</f>
        <v>0</v>
      </c>
    </row>
    <row r="8" customFormat="false" ht="15" hidden="false" customHeight="false" outlineLevel="0" collapsed="false">
      <c r="A8" s="3" t="s">
        <v>160</v>
      </c>
      <c r="B8" s="3"/>
      <c r="C8" s="3" t="s">
        <v>36</v>
      </c>
      <c r="D8" s="17" t="n">
        <v>0</v>
      </c>
      <c r="E8" s="3" t="s">
        <v>12</v>
      </c>
      <c r="F8" s="17" t="n">
        <v>500000</v>
      </c>
      <c r="G8" s="31" t="n">
        <f aca="false">IF(F8=0,"-",D8/F8)</f>
        <v>0</v>
      </c>
      <c r="I8" s="3" t="s">
        <v>202</v>
      </c>
      <c r="J8" s="3"/>
      <c r="K8" s="3" t="s">
        <v>36</v>
      </c>
      <c r="L8" s="17" t="n">
        <v>0</v>
      </c>
      <c r="M8" s="3" t="s">
        <v>12</v>
      </c>
      <c r="N8" s="17" t="n">
        <v>0</v>
      </c>
      <c r="O8" s="31" t="str">
        <f aca="false">IF(N8=0,"-",L8/N8)</f>
        <v>-</v>
      </c>
    </row>
    <row r="9" customFormat="false" ht="15" hidden="false" customHeight="false" outlineLevel="0" collapsed="false">
      <c r="A9" s="3" t="s">
        <v>161</v>
      </c>
      <c r="B9" s="3" t="n">
        <v>15</v>
      </c>
      <c r="C9" s="3" t="s">
        <v>19</v>
      </c>
      <c r="D9" s="17" t="n">
        <v>200000</v>
      </c>
      <c r="E9" s="3" t="s">
        <v>12</v>
      </c>
      <c r="F9" s="17" t="n">
        <v>200000</v>
      </c>
      <c r="G9" s="31" t="n">
        <f aca="false">IF(F9=0,"-",D9/F9)</f>
        <v>1</v>
      </c>
      <c r="I9" s="54" t="s">
        <v>263</v>
      </c>
      <c r="J9" s="55"/>
      <c r="K9" s="55"/>
      <c r="L9" s="55"/>
      <c r="M9" s="55"/>
      <c r="N9" s="55"/>
      <c r="O9" s="55"/>
    </row>
    <row r="10" customFormat="false" ht="15" hidden="false" customHeight="false" outlineLevel="0" collapsed="false">
      <c r="A10" s="3" t="s">
        <v>162</v>
      </c>
      <c r="B10" s="3"/>
      <c r="C10" s="3" t="s">
        <v>36</v>
      </c>
      <c r="D10" s="17" t="n">
        <v>0</v>
      </c>
      <c r="E10" s="3" t="s">
        <v>12</v>
      </c>
      <c r="F10" s="17" t="n">
        <v>3000000</v>
      </c>
      <c r="G10" s="31" t="n">
        <f aca="false">IF(F10=0,"-",D10/F10)</f>
        <v>0</v>
      </c>
      <c r="I10" s="5" t="s">
        <v>264</v>
      </c>
      <c r="J10" s="5"/>
      <c r="K10" s="5"/>
      <c r="L10" s="5"/>
      <c r="M10" s="5"/>
      <c r="N10" s="5"/>
      <c r="O10" s="5"/>
    </row>
    <row r="11" customFormat="false" ht="15" hidden="false" customHeight="false" outlineLevel="0" collapsed="false">
      <c r="A11" s="54" t="s">
        <v>265</v>
      </c>
      <c r="B11" s="55"/>
      <c r="C11" s="55"/>
      <c r="D11" s="55"/>
      <c r="E11" s="55"/>
      <c r="F11" s="55"/>
      <c r="G11" s="55"/>
      <c r="I11" s="3" t="s">
        <v>266</v>
      </c>
      <c r="J11" s="3" t="n">
        <v>5</v>
      </c>
      <c r="K11" s="3" t="s">
        <v>11</v>
      </c>
      <c r="L11" s="17" t="n">
        <v>13500000</v>
      </c>
      <c r="M11" s="3" t="s">
        <v>12</v>
      </c>
      <c r="N11" s="17" t="n">
        <v>13500000</v>
      </c>
      <c r="O11" s="31" t="n">
        <f aca="false">IF(N11=0,"-",L11/N11)</f>
        <v>1</v>
      </c>
    </row>
    <row r="12" customFormat="false" ht="15" hidden="false" customHeight="false" outlineLevel="0" collapsed="false">
      <c r="A12" s="57" t="s">
        <v>165</v>
      </c>
      <c r="B12" s="57"/>
      <c r="C12" s="57"/>
      <c r="D12" s="57"/>
      <c r="E12" s="57"/>
      <c r="F12" s="57"/>
      <c r="G12" s="57"/>
      <c r="I12" s="3" t="s">
        <v>267</v>
      </c>
      <c r="J12" s="3" t="n">
        <v>5</v>
      </c>
      <c r="K12" s="3" t="s">
        <v>11</v>
      </c>
      <c r="L12" s="17" t="n">
        <v>4130000</v>
      </c>
      <c r="M12" s="3" t="s">
        <v>12</v>
      </c>
      <c r="N12" s="17" t="n">
        <v>4130000</v>
      </c>
      <c r="O12" s="31" t="n">
        <f aca="false">IF(N12=0,"-",L12/N12)</f>
        <v>1</v>
      </c>
    </row>
    <row r="13" customFormat="false" ht="15" hidden="false" customHeight="false" outlineLevel="0" collapsed="false">
      <c r="A13" s="3" t="s">
        <v>268</v>
      </c>
      <c r="B13" s="3" t="n">
        <v>30</v>
      </c>
      <c r="C13" s="3" t="s">
        <v>11</v>
      </c>
      <c r="D13" s="17" t="n">
        <v>1800000</v>
      </c>
      <c r="E13" s="3" t="s">
        <v>12</v>
      </c>
      <c r="F13" s="17" t="n">
        <v>1800000</v>
      </c>
      <c r="G13" s="31" t="n">
        <f aca="false">IF(F13=0,"-",D13/F13)</f>
        <v>1</v>
      </c>
      <c r="I13" s="3" t="s">
        <v>207</v>
      </c>
      <c r="J13" s="3" t="n">
        <v>15</v>
      </c>
      <c r="K13" s="3" t="s">
        <v>19</v>
      </c>
      <c r="L13" s="17" t="n">
        <v>350000</v>
      </c>
      <c r="M13" s="3" t="s">
        <v>12</v>
      </c>
      <c r="N13" s="17" t="n">
        <v>350000</v>
      </c>
      <c r="O13" s="31" t="n">
        <f aca="false">IF(N13=0,"-",L13/N13)</f>
        <v>1</v>
      </c>
    </row>
    <row r="14" customFormat="false" ht="15" hidden="false" customHeight="false" outlineLevel="0" collapsed="false">
      <c r="A14" s="3" t="s">
        <v>269</v>
      </c>
      <c r="B14" s="3" t="n">
        <v>30</v>
      </c>
      <c r="C14" s="3" t="s">
        <v>11</v>
      </c>
      <c r="D14" s="17" t="n">
        <v>1200000</v>
      </c>
      <c r="E14" s="3" t="s">
        <v>12</v>
      </c>
      <c r="F14" s="17" t="n">
        <v>1200000</v>
      </c>
      <c r="G14" s="31" t="n">
        <f aca="false">IF(F14=0,"-",D14/F14)</f>
        <v>1</v>
      </c>
      <c r="I14" s="42" t="s">
        <v>208</v>
      </c>
      <c r="J14" s="58"/>
      <c r="K14" s="58"/>
      <c r="L14" s="58"/>
      <c r="M14" s="58"/>
      <c r="N14" s="58"/>
      <c r="O14" s="58"/>
    </row>
    <row r="15" customFormat="false" ht="15" hidden="false" customHeight="false" outlineLevel="0" collapsed="false">
      <c r="A15" s="3" t="s">
        <v>270</v>
      </c>
      <c r="B15" s="3" t="n">
        <v>10</v>
      </c>
      <c r="C15" s="3" t="s">
        <v>11</v>
      </c>
      <c r="D15" s="17" t="n">
        <v>1600000</v>
      </c>
      <c r="E15" s="3" t="s">
        <v>12</v>
      </c>
      <c r="F15" s="17" t="n">
        <v>1600000</v>
      </c>
      <c r="G15" s="31" t="n">
        <f aca="false">IF(F15=0,"-",D15/F15)</f>
        <v>1</v>
      </c>
      <c r="I15" s="5" t="s">
        <v>271</v>
      </c>
      <c r="J15" s="5"/>
      <c r="K15" s="5"/>
      <c r="L15" s="5"/>
      <c r="M15" s="5"/>
      <c r="N15" s="5"/>
      <c r="O15" s="5"/>
    </row>
    <row r="16" customFormat="false" ht="15" hidden="false" customHeight="false" outlineLevel="0" collapsed="false">
      <c r="A16" s="3" t="s">
        <v>169</v>
      </c>
      <c r="B16" s="3" t="n">
        <v>11</v>
      </c>
      <c r="C16" s="3" t="s">
        <v>11</v>
      </c>
      <c r="D16" s="17" t="n">
        <v>400000</v>
      </c>
      <c r="E16" s="3" t="s">
        <v>12</v>
      </c>
      <c r="F16" s="17" t="n">
        <v>400000</v>
      </c>
      <c r="G16" s="31" t="n">
        <f aca="false">IF(F16=0,"-",D16/F16)</f>
        <v>1</v>
      </c>
      <c r="I16" s="3" t="s">
        <v>210</v>
      </c>
      <c r="J16" s="3" t="n">
        <v>30</v>
      </c>
      <c r="K16" s="3" t="s">
        <v>11</v>
      </c>
      <c r="L16" s="17" t="n">
        <v>2000000</v>
      </c>
      <c r="M16" s="3" t="s">
        <v>12</v>
      </c>
      <c r="N16" s="17" t="n">
        <v>2000000</v>
      </c>
      <c r="O16" s="31" t="n">
        <f aca="false">IF(N16=0,"-",L16/N16)</f>
        <v>1</v>
      </c>
    </row>
    <row r="17" customFormat="false" ht="15" hidden="false" customHeight="false" outlineLevel="0" collapsed="false">
      <c r="A17" s="3" t="s">
        <v>170</v>
      </c>
      <c r="B17" s="3" t="n">
        <v>15</v>
      </c>
      <c r="C17" s="3" t="s">
        <v>19</v>
      </c>
      <c r="D17" s="17" t="n">
        <v>400000</v>
      </c>
      <c r="E17" s="3" t="s">
        <v>12</v>
      </c>
      <c r="F17" s="17" t="n">
        <v>400000</v>
      </c>
      <c r="G17" s="31" t="n">
        <f aca="false">IF(F17=0,"-",D17/F17)</f>
        <v>1</v>
      </c>
      <c r="I17" s="3" t="s">
        <v>211</v>
      </c>
      <c r="J17" s="3" t="n">
        <v>30</v>
      </c>
      <c r="K17" s="3" t="s">
        <v>11</v>
      </c>
      <c r="L17" s="17" t="n">
        <v>1800000</v>
      </c>
      <c r="M17" s="3" t="s">
        <v>12</v>
      </c>
      <c r="N17" s="17" t="n">
        <v>1800000</v>
      </c>
      <c r="O17" s="31" t="n">
        <f aca="false">IF(N17=0,"-",L17/N17)</f>
        <v>1</v>
      </c>
    </row>
    <row r="18" customFormat="false" ht="15" hidden="false" customHeight="false" outlineLevel="0" collapsed="false">
      <c r="A18" s="3" t="s">
        <v>171</v>
      </c>
      <c r="B18" s="3" t="n">
        <v>10</v>
      </c>
      <c r="C18" s="3" t="s">
        <v>19</v>
      </c>
      <c r="D18" s="17" t="n">
        <v>300000</v>
      </c>
      <c r="E18" s="3" t="s">
        <v>12</v>
      </c>
      <c r="F18" s="17" t="n">
        <v>300000</v>
      </c>
      <c r="G18" s="31" t="n">
        <f aca="false">IF(F18=0,"-",D18/F18)</f>
        <v>1</v>
      </c>
      <c r="I18" s="3" t="s">
        <v>212</v>
      </c>
      <c r="J18" s="3" t="n">
        <v>5</v>
      </c>
      <c r="K18" s="3" t="s">
        <v>19</v>
      </c>
      <c r="L18" s="17" t="n">
        <v>500000</v>
      </c>
      <c r="M18" s="3" t="s">
        <v>12</v>
      </c>
      <c r="N18" s="17" t="n">
        <v>500000</v>
      </c>
      <c r="O18" s="31" t="n">
        <f aca="false">IF(N18=0,"-",L18/N18)</f>
        <v>1</v>
      </c>
    </row>
    <row r="19" customFormat="false" ht="15" hidden="false" customHeight="false" outlineLevel="0" collapsed="false">
      <c r="A19" s="3" t="s">
        <v>172</v>
      </c>
      <c r="B19" s="3" t="n">
        <v>5</v>
      </c>
      <c r="C19" s="3" t="s">
        <v>11</v>
      </c>
      <c r="D19" s="17" t="n">
        <v>1200000</v>
      </c>
      <c r="E19" s="3" t="s">
        <v>12</v>
      </c>
      <c r="F19" s="17" t="n">
        <v>1200000</v>
      </c>
      <c r="G19" s="31" t="n">
        <f aca="false">IF(F19=0,"-",D19/F19)</f>
        <v>1</v>
      </c>
      <c r="I19" s="3" t="s">
        <v>272</v>
      </c>
      <c r="J19" s="3" t="n">
        <v>30</v>
      </c>
      <c r="K19" s="3" t="s">
        <v>11</v>
      </c>
      <c r="L19" s="17" t="n">
        <v>5000000</v>
      </c>
      <c r="M19" s="3" t="s">
        <v>12</v>
      </c>
      <c r="N19" s="17" t="n">
        <v>5000000</v>
      </c>
      <c r="O19" s="31" t="n">
        <f aca="false">IF(N19=0,"-",L19/N19)</f>
        <v>1</v>
      </c>
    </row>
    <row r="20" customFormat="false" ht="15" hidden="false" customHeight="false" outlineLevel="0" collapsed="false">
      <c r="A20" s="3" t="s">
        <v>173</v>
      </c>
      <c r="B20" s="3" t="n">
        <v>15</v>
      </c>
      <c r="C20" s="3" t="s">
        <v>11</v>
      </c>
      <c r="D20" s="17" t="n">
        <v>350000</v>
      </c>
      <c r="E20" s="3" t="s">
        <v>12</v>
      </c>
      <c r="F20" s="17" t="n">
        <v>350000</v>
      </c>
      <c r="G20" s="31" t="n">
        <f aca="false">IF(F20=0,"-",D20/F20)</f>
        <v>1</v>
      </c>
      <c r="I20" s="3" t="s">
        <v>273</v>
      </c>
      <c r="J20" s="3" t="n">
        <v>5</v>
      </c>
      <c r="K20" s="3" t="s">
        <v>11</v>
      </c>
      <c r="L20" s="17" t="n">
        <v>300000</v>
      </c>
      <c r="M20" s="3" t="s">
        <v>12</v>
      </c>
      <c r="N20" s="17" t="n">
        <v>300000</v>
      </c>
      <c r="O20" s="31" t="n">
        <f aca="false">IF(N20=0,"-",L20/N20)</f>
        <v>1</v>
      </c>
    </row>
    <row r="21" customFormat="false" ht="15" hidden="false" customHeight="false" outlineLevel="0" collapsed="false">
      <c r="A21" s="42" t="s">
        <v>174</v>
      </c>
      <c r="B21" s="58"/>
      <c r="C21" s="58"/>
      <c r="D21" s="58"/>
      <c r="E21" s="58"/>
      <c r="F21" s="58"/>
      <c r="G21" s="58"/>
      <c r="I21" s="42" t="s">
        <v>215</v>
      </c>
      <c r="J21" s="58"/>
      <c r="K21" s="58"/>
      <c r="L21" s="58"/>
      <c r="M21" s="58"/>
      <c r="N21" s="58"/>
      <c r="O21" s="58"/>
    </row>
    <row r="22" customFormat="false" ht="15" hidden="false" customHeight="false" outlineLevel="0" collapsed="false">
      <c r="A22" s="57" t="s">
        <v>274</v>
      </c>
      <c r="B22" s="57"/>
      <c r="C22" s="57"/>
      <c r="D22" s="57"/>
      <c r="E22" s="57"/>
      <c r="F22" s="57"/>
      <c r="G22" s="57"/>
      <c r="I22" s="5" t="s">
        <v>275</v>
      </c>
      <c r="J22" s="5"/>
      <c r="K22" s="5"/>
      <c r="L22" s="5"/>
      <c r="M22" s="5"/>
      <c r="N22" s="5"/>
      <c r="O22" s="5"/>
    </row>
    <row r="23" customFormat="false" ht="15" hidden="false" customHeight="false" outlineLevel="0" collapsed="false">
      <c r="A23" s="3" t="s">
        <v>176</v>
      </c>
      <c r="B23" s="3" t="n">
        <v>10</v>
      </c>
      <c r="C23" s="3" t="s">
        <v>11</v>
      </c>
      <c r="D23" s="17" t="n">
        <v>200000</v>
      </c>
      <c r="E23" s="3" t="s">
        <v>12</v>
      </c>
      <c r="F23" s="17" t="n">
        <v>200000</v>
      </c>
      <c r="G23" s="31" t="n">
        <f aca="false">IF(F23=0,"-",D23/F23)</f>
        <v>1</v>
      </c>
      <c r="I23" s="3" t="s">
        <v>276</v>
      </c>
      <c r="J23" s="3" t="n">
        <v>10</v>
      </c>
      <c r="K23" s="3" t="s">
        <v>11</v>
      </c>
      <c r="L23" s="17" t="n">
        <v>100000</v>
      </c>
      <c r="M23" s="3" t="s">
        <v>12</v>
      </c>
      <c r="N23" s="17" t="n">
        <v>100000</v>
      </c>
      <c r="O23" s="31" t="n">
        <f aca="false">IF(N23=0,"-",L23/N23)</f>
        <v>1</v>
      </c>
    </row>
    <row r="24" customFormat="false" ht="15" hidden="false" customHeight="false" outlineLevel="0" collapsed="false">
      <c r="A24" s="3" t="s">
        <v>177</v>
      </c>
      <c r="B24" s="3" t="n">
        <v>10</v>
      </c>
      <c r="C24" s="3" t="s">
        <v>19</v>
      </c>
      <c r="D24" s="17" t="n">
        <v>150000</v>
      </c>
      <c r="E24" s="3" t="s">
        <v>12</v>
      </c>
      <c r="F24" s="17" t="n">
        <v>150000</v>
      </c>
      <c r="G24" s="31" t="n">
        <f aca="false">IF(F24=0,"-",D24/F24)</f>
        <v>1</v>
      </c>
      <c r="I24" s="3" t="s">
        <v>277</v>
      </c>
      <c r="J24" s="3" t="n">
        <v>10</v>
      </c>
      <c r="K24" s="3" t="s">
        <v>11</v>
      </c>
      <c r="L24" s="17" t="n">
        <v>100000</v>
      </c>
      <c r="M24" s="3" t="s">
        <v>12</v>
      </c>
      <c r="N24" s="17" t="n">
        <v>100000</v>
      </c>
      <c r="O24" s="31" t="n">
        <f aca="false">IF(N24=0,"-",L24/N24)</f>
        <v>1</v>
      </c>
    </row>
    <row r="25" customFormat="false" ht="15" hidden="false" customHeight="false" outlineLevel="0" collapsed="false">
      <c r="A25" s="3" t="s">
        <v>178</v>
      </c>
      <c r="B25" s="3" t="n">
        <v>15</v>
      </c>
      <c r="C25" s="3" t="s">
        <v>11</v>
      </c>
      <c r="D25" s="17" t="n">
        <v>391000</v>
      </c>
      <c r="E25" s="3" t="s">
        <v>12</v>
      </c>
      <c r="F25" s="17" t="n">
        <v>391000</v>
      </c>
      <c r="G25" s="31" t="n">
        <f aca="false">IF(F25=0,"-",D25/F25)</f>
        <v>1</v>
      </c>
      <c r="I25" s="3" t="s">
        <v>219</v>
      </c>
      <c r="J25" s="3" t="n">
        <v>5</v>
      </c>
      <c r="K25" s="3" t="s">
        <v>11</v>
      </c>
      <c r="L25" s="17" t="n">
        <v>150000</v>
      </c>
      <c r="M25" s="3" t="s">
        <v>12</v>
      </c>
      <c r="N25" s="17" t="n">
        <v>150000</v>
      </c>
      <c r="O25" s="31" t="n">
        <f aca="false">IF(N25=0,"-",L25/N25)</f>
        <v>1</v>
      </c>
    </row>
    <row r="26" customFormat="false" ht="15" hidden="false" customHeight="false" outlineLevel="0" collapsed="false">
      <c r="A26" s="3" t="s">
        <v>278</v>
      </c>
      <c r="B26" s="3" t="n">
        <v>20</v>
      </c>
      <c r="C26" s="3" t="s">
        <v>11</v>
      </c>
      <c r="D26" s="17" t="n">
        <v>2000000</v>
      </c>
      <c r="E26" s="3" t="s">
        <v>12</v>
      </c>
      <c r="F26" s="17" t="n">
        <v>2000000</v>
      </c>
      <c r="G26" s="31" t="n">
        <f aca="false">IF(F26=0,"-",D26/F26)</f>
        <v>1</v>
      </c>
      <c r="I26" s="3" t="s">
        <v>279</v>
      </c>
      <c r="J26" s="3" t="n">
        <v>10</v>
      </c>
      <c r="K26" s="3" t="s">
        <v>11</v>
      </c>
      <c r="L26" s="17" t="n">
        <v>200000</v>
      </c>
      <c r="M26" s="3" t="s">
        <v>12</v>
      </c>
      <c r="N26" s="17" t="n">
        <v>200000</v>
      </c>
      <c r="O26" s="31" t="n">
        <f aca="false">IF(N26=0,"-",L26/N26)</f>
        <v>1</v>
      </c>
    </row>
    <row r="27" customFormat="false" ht="15" hidden="false" customHeight="false" outlineLevel="0" collapsed="false">
      <c r="A27" s="3" t="s">
        <v>41</v>
      </c>
      <c r="B27" s="3" t="n">
        <v>15</v>
      </c>
      <c r="C27" s="3" t="s">
        <v>11</v>
      </c>
      <c r="D27" s="17" t="n">
        <v>800000</v>
      </c>
      <c r="E27" s="3" t="s">
        <v>12</v>
      </c>
      <c r="F27" s="17" t="n">
        <v>800000</v>
      </c>
      <c r="G27" s="31" t="n">
        <f aca="false">IF(F27=0,"-",D27/F27)</f>
        <v>1</v>
      </c>
      <c r="I27" s="42" t="s">
        <v>221</v>
      </c>
      <c r="J27" s="58"/>
      <c r="K27" s="58"/>
      <c r="L27" s="58"/>
      <c r="M27" s="58"/>
      <c r="N27" s="58"/>
      <c r="O27" s="58"/>
    </row>
    <row r="28" customFormat="false" ht="15" hidden="false" customHeight="false" outlineLevel="0" collapsed="false">
      <c r="A28" s="3" t="s">
        <v>181</v>
      </c>
      <c r="B28" s="3" t="n">
        <v>15</v>
      </c>
      <c r="C28" s="3" t="s">
        <v>11</v>
      </c>
      <c r="D28" s="17" t="n">
        <v>500000</v>
      </c>
      <c r="E28" s="3" t="s">
        <v>12</v>
      </c>
      <c r="F28" s="17" t="n">
        <v>500000</v>
      </c>
      <c r="G28" s="31" t="n">
        <f aca="false">IF(F28=0,"-",D28/F28)</f>
        <v>1</v>
      </c>
      <c r="I28" s="5" t="s">
        <v>280</v>
      </c>
      <c r="J28" s="5"/>
      <c r="K28" s="5"/>
      <c r="L28" s="5"/>
      <c r="M28" s="5"/>
      <c r="N28" s="5"/>
      <c r="O28" s="5"/>
    </row>
    <row r="29" customFormat="false" ht="15" hidden="false" customHeight="false" outlineLevel="0" collapsed="false">
      <c r="A29" s="3" t="s">
        <v>182</v>
      </c>
      <c r="B29" s="3" t="n">
        <v>20</v>
      </c>
      <c r="C29" s="3" t="s">
        <v>11</v>
      </c>
      <c r="D29" s="17" t="n">
        <v>850000</v>
      </c>
      <c r="E29" s="3" t="s">
        <v>12</v>
      </c>
      <c r="F29" s="17" t="n">
        <v>850000</v>
      </c>
      <c r="G29" s="31" t="n">
        <f aca="false">IF(F29=0,"-",D29/F29)</f>
        <v>1</v>
      </c>
      <c r="I29" s="3" t="s">
        <v>223</v>
      </c>
      <c r="J29" s="3" t="n">
        <v>20</v>
      </c>
      <c r="K29" s="3" t="s">
        <v>19</v>
      </c>
      <c r="L29" s="17" t="n">
        <v>1500000</v>
      </c>
      <c r="M29" s="3" t="s">
        <v>12</v>
      </c>
      <c r="N29" s="17" t="n">
        <v>1500000</v>
      </c>
      <c r="O29" s="31" t="n">
        <f aca="false">IF(N29=0,"-",L29/N29)</f>
        <v>1</v>
      </c>
    </row>
    <row r="30" customFormat="false" ht="15" hidden="false" customHeight="false" outlineLevel="0" collapsed="false">
      <c r="A30" s="3" t="s">
        <v>183</v>
      </c>
      <c r="B30" s="3" t="n">
        <v>20</v>
      </c>
      <c r="C30" s="3" t="s">
        <v>11</v>
      </c>
      <c r="D30" s="17" t="n">
        <v>650000</v>
      </c>
      <c r="E30" s="3" t="s">
        <v>12</v>
      </c>
      <c r="F30" s="17" t="n">
        <v>650000</v>
      </c>
      <c r="G30" s="31" t="n">
        <f aca="false">IF(F30=0,"-",D30/F30)</f>
        <v>1</v>
      </c>
      <c r="I30" s="3" t="s">
        <v>224</v>
      </c>
      <c r="J30" s="3" t="n">
        <v>15</v>
      </c>
      <c r="K30" s="3" t="s">
        <v>11</v>
      </c>
      <c r="L30" s="17" t="n">
        <v>800000</v>
      </c>
      <c r="M30" s="3" t="s">
        <v>12</v>
      </c>
      <c r="N30" s="17" t="n">
        <v>800000</v>
      </c>
      <c r="O30" s="31" t="n">
        <f aca="false">IF(N30=0,"-",L30/N30)</f>
        <v>1</v>
      </c>
    </row>
    <row r="31" customFormat="false" ht="15" hidden="false" customHeight="false" outlineLevel="0" collapsed="false">
      <c r="A31" s="42" t="s">
        <v>281</v>
      </c>
      <c r="B31" s="58"/>
      <c r="C31" s="58"/>
      <c r="D31" s="58"/>
      <c r="E31" s="58"/>
      <c r="F31" s="58"/>
      <c r="G31" s="58"/>
      <c r="I31" s="42" t="s">
        <v>225</v>
      </c>
      <c r="J31" s="58"/>
      <c r="K31" s="58"/>
      <c r="L31" s="58"/>
      <c r="M31" s="58"/>
      <c r="N31" s="58"/>
      <c r="O31" s="58"/>
    </row>
    <row r="32" customFormat="false" ht="15" hidden="false" customHeight="false" outlineLevel="0" collapsed="false">
      <c r="A32" s="57" t="s">
        <v>185</v>
      </c>
      <c r="B32" s="57"/>
      <c r="C32" s="57"/>
      <c r="D32" s="57"/>
      <c r="E32" s="57"/>
      <c r="F32" s="57"/>
      <c r="G32" s="57"/>
      <c r="I32" s="5" t="s">
        <v>189</v>
      </c>
      <c r="J32" s="5"/>
      <c r="K32" s="5"/>
      <c r="L32" s="5"/>
      <c r="M32" s="5"/>
      <c r="N32" s="5"/>
      <c r="O32" s="5"/>
    </row>
    <row r="33" customFormat="false" ht="15" hidden="false" customHeight="false" outlineLevel="0" collapsed="false">
      <c r="A33" s="3" t="s">
        <v>186</v>
      </c>
      <c r="B33" s="3" t="n">
        <v>5</v>
      </c>
      <c r="C33" s="3" t="s">
        <v>11</v>
      </c>
      <c r="D33" s="17" t="n">
        <v>250000</v>
      </c>
      <c r="E33" s="3" t="s">
        <v>12</v>
      </c>
      <c r="F33" s="17" t="n">
        <v>250000</v>
      </c>
      <c r="G33" s="31" t="n">
        <f aca="false">IF(F33=0,"-",D33/F33)</f>
        <v>1</v>
      </c>
      <c r="I33" s="3" t="s">
        <v>282</v>
      </c>
      <c r="J33" s="3"/>
      <c r="K33" s="3" t="s">
        <v>36</v>
      </c>
      <c r="L33" s="17" t="n">
        <v>0</v>
      </c>
      <c r="M33" s="3" t="s">
        <v>12</v>
      </c>
      <c r="N33" s="17" t="n">
        <v>150000</v>
      </c>
      <c r="O33" s="31" t="n">
        <f aca="false">IF(N33=0,"-",L33/N33)</f>
        <v>0</v>
      </c>
    </row>
    <row r="34" customFormat="false" ht="15" hidden="false" customHeight="false" outlineLevel="0" collapsed="false">
      <c r="A34" s="3" t="s">
        <v>187</v>
      </c>
      <c r="B34" s="3" t="n">
        <v>10</v>
      </c>
      <c r="C34" s="3" t="s">
        <v>11</v>
      </c>
      <c r="D34" s="17" t="n">
        <v>320000</v>
      </c>
      <c r="E34" s="3" t="s">
        <v>12</v>
      </c>
      <c r="F34" s="17" t="n">
        <v>320000</v>
      </c>
      <c r="G34" s="31" t="n">
        <f aca="false">IF(F34=0,"-",D34/F34)</f>
        <v>1</v>
      </c>
      <c r="I34" s="3" t="s">
        <v>228</v>
      </c>
      <c r="J34" s="3"/>
      <c r="K34" s="3" t="s">
        <v>36</v>
      </c>
      <c r="L34" s="17" t="n">
        <v>0</v>
      </c>
      <c r="M34" s="3" t="s">
        <v>12</v>
      </c>
      <c r="N34" s="17" t="n">
        <v>200000</v>
      </c>
      <c r="O34" s="31" t="n">
        <f aca="false">IF(N34=0,"-",L34/N34)</f>
        <v>0</v>
      </c>
    </row>
    <row r="35" customFormat="false" ht="15" hidden="false" customHeight="false" outlineLevel="0" collapsed="false">
      <c r="A35" s="42" t="s">
        <v>188</v>
      </c>
      <c r="B35" s="58"/>
      <c r="C35" s="58"/>
      <c r="D35" s="58"/>
      <c r="E35" s="58"/>
      <c r="F35" s="58"/>
      <c r="G35" s="58"/>
      <c r="I35" s="3" t="s">
        <v>229</v>
      </c>
      <c r="J35" s="3"/>
      <c r="K35" s="3" t="s">
        <v>36</v>
      </c>
      <c r="L35" s="17" t="n">
        <v>0</v>
      </c>
      <c r="M35" s="3" t="s">
        <v>12</v>
      </c>
      <c r="N35" s="17" t="n">
        <v>100000</v>
      </c>
      <c r="O35" s="31" t="n">
        <f aca="false">IF(N35=0,"-",L35/N35)</f>
        <v>0</v>
      </c>
    </row>
    <row r="36" customFormat="false" ht="15" hidden="false" customHeight="false" outlineLevel="0" collapsed="false">
      <c r="A36" s="57" t="s">
        <v>189</v>
      </c>
      <c r="B36" s="57"/>
      <c r="C36" s="57"/>
      <c r="D36" s="57"/>
      <c r="E36" s="57"/>
      <c r="F36" s="57"/>
      <c r="G36" s="57"/>
      <c r="I36" s="42" t="s">
        <v>195</v>
      </c>
      <c r="J36" s="58"/>
      <c r="K36" s="58"/>
      <c r="L36" s="58"/>
      <c r="M36" s="58"/>
      <c r="N36" s="58"/>
      <c r="O36" s="58"/>
    </row>
    <row r="37" customFormat="false" ht="15" hidden="false" customHeight="false" outlineLevel="0" collapsed="false">
      <c r="A37" s="3" t="s">
        <v>190</v>
      </c>
      <c r="B37" s="3"/>
      <c r="C37" s="3" t="s">
        <v>36</v>
      </c>
      <c r="D37" s="17" t="n">
        <v>0</v>
      </c>
      <c r="E37" s="3" t="s">
        <v>12</v>
      </c>
      <c r="F37" s="17" t="n">
        <v>800000</v>
      </c>
      <c r="G37" s="31" t="n">
        <f aca="false">IF(F37=0,"-",D37/F37)</f>
        <v>0</v>
      </c>
      <c r="I37" s="61" t="s">
        <v>283</v>
      </c>
      <c r="J37" s="62"/>
      <c r="K37" s="62"/>
      <c r="L37" s="62"/>
      <c r="M37" s="62"/>
      <c r="N37" s="62"/>
      <c r="O37" s="62"/>
    </row>
    <row r="38" customFormat="false" ht="15" hidden="false" customHeight="false" outlineLevel="0" collapsed="false">
      <c r="A38" s="3" t="s">
        <v>191</v>
      </c>
      <c r="B38" s="3"/>
      <c r="C38" s="3" t="s">
        <v>36</v>
      </c>
      <c r="D38" s="17" t="n">
        <v>0</v>
      </c>
      <c r="E38" s="3" t="s">
        <v>12</v>
      </c>
      <c r="F38" s="17" t="n">
        <v>600000</v>
      </c>
      <c r="G38" s="31" t="n">
        <f aca="false">IF(F38=0,"-",D38/F38)</f>
        <v>0</v>
      </c>
      <c r="I38" s="79" t="s">
        <v>284</v>
      </c>
      <c r="J38" s="80"/>
      <c r="K38" s="80"/>
      <c r="L38" s="80"/>
      <c r="M38" s="80"/>
      <c r="N38" s="80"/>
      <c r="O38" s="80"/>
    </row>
    <row r="39" customFormat="false" ht="15" hidden="false" customHeight="false" outlineLevel="0" collapsed="false">
      <c r="A39" s="3" t="s">
        <v>285</v>
      </c>
      <c r="B39" s="3"/>
      <c r="C39" s="3" t="s">
        <v>36</v>
      </c>
      <c r="D39" s="17" t="n">
        <v>0</v>
      </c>
      <c r="E39" s="3" t="s">
        <v>12</v>
      </c>
      <c r="F39" s="17" t="n">
        <v>300000</v>
      </c>
      <c r="G39" s="31" t="n">
        <f aca="false">IF(F39=0,"-",D39/F39)</f>
        <v>0</v>
      </c>
      <c r="I39" s="79" t="s">
        <v>80</v>
      </c>
      <c r="J39" s="80"/>
      <c r="K39" s="80"/>
      <c r="L39" s="80"/>
      <c r="M39" s="80"/>
      <c r="N39" s="80"/>
      <c r="O39" s="80"/>
    </row>
    <row r="40" customFormat="false" ht="15" hidden="false" customHeight="false" outlineLevel="0" collapsed="false">
      <c r="A40" s="3" t="s">
        <v>193</v>
      </c>
      <c r="B40" s="3"/>
      <c r="C40" s="3" t="s">
        <v>36</v>
      </c>
      <c r="D40" s="17" t="n">
        <v>0</v>
      </c>
      <c r="E40" s="3" t="s">
        <v>12</v>
      </c>
      <c r="F40" s="17" t="n">
        <v>200000</v>
      </c>
      <c r="G40" s="31" t="n">
        <f aca="false">IF(F40=0,"-",D40/F40)</f>
        <v>0</v>
      </c>
      <c r="I40" s="32" t="s">
        <v>125</v>
      </c>
      <c r="J40" s="34"/>
      <c r="K40" s="34"/>
      <c r="L40" s="34"/>
      <c r="M40" s="34"/>
      <c r="N40" s="34"/>
      <c r="O40" s="34"/>
    </row>
    <row r="41" customFormat="false" ht="15" hidden="false" customHeight="false" outlineLevel="0" collapsed="false">
      <c r="A41" s="3" t="s">
        <v>286</v>
      </c>
      <c r="B41" s="3"/>
      <c r="C41" s="3" t="s">
        <v>36</v>
      </c>
      <c r="D41" s="17" t="n">
        <v>0</v>
      </c>
      <c r="E41" s="3" t="s">
        <v>12</v>
      </c>
      <c r="F41" s="17" t="n">
        <v>300000</v>
      </c>
      <c r="G41" s="31" t="n">
        <f aca="false">IF(F41=0,"-",D41/F41)</f>
        <v>0</v>
      </c>
    </row>
    <row r="42" customFormat="false" ht="15" hidden="false" customHeight="false" outlineLevel="0" collapsed="false">
      <c r="A42" s="42" t="s">
        <v>195</v>
      </c>
      <c r="B42" s="58"/>
      <c r="C42" s="58"/>
      <c r="D42" s="58"/>
      <c r="E42" s="58"/>
      <c r="F42" s="58"/>
      <c r="G42" s="58"/>
    </row>
    <row r="43" customFormat="false" ht="15" hidden="false" customHeight="false" outlineLevel="0" collapsed="false">
      <c r="A43" s="61" t="s">
        <v>287</v>
      </c>
      <c r="B43" s="62"/>
      <c r="C43" s="62"/>
      <c r="D43" s="62"/>
      <c r="E43" s="62"/>
      <c r="F43" s="62"/>
      <c r="G43" s="62"/>
    </row>
    <row r="44" customFormat="false" ht="15" hidden="false" customHeight="false" outlineLevel="0" collapsed="false">
      <c r="A44" s="32" t="s">
        <v>107</v>
      </c>
      <c r="B44" s="34"/>
      <c r="C44" s="34"/>
      <c r="D44" s="34"/>
      <c r="E44" s="34"/>
      <c r="F44" s="34"/>
      <c r="G44" s="34"/>
    </row>
  </sheetData>
  <mergeCells count="15">
    <mergeCell ref="A1:G1"/>
    <mergeCell ref="I1:O1"/>
    <mergeCell ref="A3:G3"/>
    <mergeCell ref="I3:O3"/>
    <mergeCell ref="A5:G5"/>
    <mergeCell ref="I5:O5"/>
    <mergeCell ref="I10:O10"/>
    <mergeCell ref="A12:G12"/>
    <mergeCell ref="I15:O15"/>
    <mergeCell ref="A22:G22"/>
    <mergeCell ref="I22:O22"/>
    <mergeCell ref="I28:O28"/>
    <mergeCell ref="A32:G32"/>
    <mergeCell ref="I32:O32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2025-12-29T18:42:46Z</dcterms:created>
  <dc:creator>openpyxl</dc:creator>
  <dc:description/>
  <dc:language>en-US</dc:language>
  <cp:lastModifiedBy/>
  <dcterms:modified xsi:type="dcterms:W3CDTF">2025-12-29T18:42:47Z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