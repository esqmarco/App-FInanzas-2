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arcoe\Downloads\"/>
    </mc:Choice>
  </mc:AlternateContent>
  <xr:revisionPtr revIDLastSave="0" documentId="13_ncr:1_{D52E9F40-3B95-4C40-8131-1DD2D672C730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CONFIGURACIÓN" sheetId="28" r:id="rId1"/>
    <sheet name="TABLERO" sheetId="1" r:id="rId2"/>
    <sheet name="PRESUPUESTO" sheetId="2" r:id="rId3"/>
    <sheet name="GASTOS FIJOS" sheetId="3" r:id="rId4"/>
    <sheet name="CARGA" sheetId="5" r:id="rId5"/>
    <sheet name="MOVIMIENTO" sheetId="4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0" i="4" l="1"/>
  <c r="N65" i="4"/>
  <c r="N75" i="4" s="1"/>
  <c r="M65" i="4"/>
  <c r="M75" i="4" s="1"/>
  <c r="N49" i="4"/>
  <c r="M49" i="4"/>
  <c r="N40" i="4"/>
  <c r="M40" i="4"/>
  <c r="N31" i="4"/>
  <c r="M31" i="4"/>
  <c r="N20" i="4"/>
  <c r="M20" i="4"/>
  <c r="N12" i="4"/>
  <c r="M12" i="4"/>
  <c r="E88" i="4"/>
  <c r="E102" i="4" s="1"/>
  <c r="E106" i="4" s="1"/>
  <c r="E68" i="4"/>
  <c r="E54" i="4"/>
  <c r="D54" i="4"/>
  <c r="D68" i="4" s="1"/>
  <c r="D88" i="4" s="1"/>
  <c r="D102" i="4" s="1"/>
  <c r="E34" i="4"/>
  <c r="E19" i="4"/>
  <c r="D19" i="4"/>
  <c r="D34" i="4" s="1"/>
  <c r="H31" i="1"/>
  <c r="N189" i="2"/>
  <c r="M189" i="2"/>
  <c r="L189" i="2"/>
  <c r="K189" i="2"/>
  <c r="J189" i="2"/>
  <c r="I189" i="2"/>
  <c r="H189" i="2"/>
  <c r="G189" i="2"/>
  <c r="F189" i="2"/>
  <c r="E189" i="2"/>
  <c r="D189" i="2"/>
  <c r="O173" i="2"/>
  <c r="N173" i="2"/>
  <c r="N183" i="2" s="1"/>
  <c r="M173" i="2"/>
  <c r="M183" i="2" s="1"/>
  <c r="L173" i="2"/>
  <c r="L183" i="2" s="1"/>
  <c r="K173" i="2"/>
  <c r="K183" i="2" s="1"/>
  <c r="J173" i="2"/>
  <c r="J183" i="2" s="1"/>
  <c r="I173" i="2"/>
  <c r="I183" i="2" s="1"/>
  <c r="H173" i="2"/>
  <c r="H183" i="2" s="1"/>
  <c r="G173" i="2"/>
  <c r="G183" i="2" s="1"/>
  <c r="F173" i="2"/>
  <c r="F183" i="2" s="1"/>
  <c r="E173" i="2"/>
  <c r="E183" i="2" s="1"/>
  <c r="D173" i="2"/>
  <c r="D183" i="2" s="1"/>
  <c r="C173" i="2"/>
  <c r="C183" i="2" s="1"/>
  <c r="C139" i="2"/>
  <c r="C148" i="2"/>
  <c r="C157" i="2"/>
  <c r="N157" i="2"/>
  <c r="M157" i="2"/>
  <c r="L157" i="2"/>
  <c r="K157" i="2"/>
  <c r="J157" i="2"/>
  <c r="I157" i="2"/>
  <c r="H157" i="2"/>
  <c r="G157" i="2"/>
  <c r="F157" i="2"/>
  <c r="E157" i="2"/>
  <c r="D157" i="2"/>
  <c r="N148" i="2"/>
  <c r="M148" i="2"/>
  <c r="L148" i="2"/>
  <c r="K148" i="2"/>
  <c r="J148" i="2"/>
  <c r="I148" i="2"/>
  <c r="H148" i="2"/>
  <c r="G148" i="2"/>
  <c r="F148" i="2"/>
  <c r="E148" i="2"/>
  <c r="D14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N139" i="2"/>
  <c r="M139" i="2"/>
  <c r="L139" i="2"/>
  <c r="K139" i="2"/>
  <c r="J139" i="2"/>
  <c r="I139" i="2"/>
  <c r="H139" i="2"/>
  <c r="G139" i="2"/>
  <c r="F139" i="2"/>
  <c r="E139" i="2"/>
  <c r="D139" i="2"/>
  <c r="O69" i="2"/>
  <c r="N69" i="2"/>
  <c r="M69" i="2"/>
  <c r="L69" i="2"/>
  <c r="K69" i="2"/>
  <c r="J69" i="2"/>
  <c r="I69" i="2"/>
  <c r="H69" i="2"/>
  <c r="G69" i="2"/>
  <c r="F69" i="2"/>
  <c r="E69" i="2"/>
  <c r="D69" i="2"/>
  <c r="N89" i="2"/>
  <c r="N103" i="2" s="1"/>
  <c r="N107" i="2" s="1"/>
  <c r="M89" i="2"/>
  <c r="M103" i="2" s="1"/>
  <c r="M107" i="2" s="1"/>
  <c r="L89" i="2"/>
  <c r="L103" i="2" s="1"/>
  <c r="L107" i="2" s="1"/>
  <c r="K89" i="2"/>
  <c r="K103" i="2" s="1"/>
  <c r="K107" i="2" s="1"/>
  <c r="J89" i="2"/>
  <c r="J103" i="2" s="1"/>
  <c r="J107" i="2" s="1"/>
  <c r="I89" i="2"/>
  <c r="I103" i="2" s="1"/>
  <c r="I107" i="2" s="1"/>
  <c r="H89" i="2"/>
  <c r="H103" i="2" s="1"/>
  <c r="H107" i="2" s="1"/>
  <c r="G89" i="2"/>
  <c r="G103" i="2" s="1"/>
  <c r="G107" i="2" s="1"/>
  <c r="F89" i="2"/>
  <c r="F103" i="2" s="1"/>
  <c r="F107" i="2" s="1"/>
  <c r="E89" i="2"/>
  <c r="E103" i="2" s="1"/>
  <c r="E107" i="2" s="1"/>
  <c r="D89" i="2"/>
  <c r="D103" i="2" s="1"/>
  <c r="D107" i="2" s="1"/>
  <c r="O47" i="2"/>
  <c r="O48" i="2"/>
  <c r="O49" i="2"/>
  <c r="O50" i="2"/>
  <c r="O51" i="2"/>
  <c r="N35" i="2"/>
  <c r="M35" i="2"/>
  <c r="L35" i="2"/>
  <c r="K35" i="2"/>
  <c r="J35" i="2"/>
  <c r="I35" i="2"/>
  <c r="H35" i="2"/>
  <c r="G35" i="2"/>
  <c r="F35" i="2"/>
  <c r="E35" i="2"/>
  <c r="D35" i="2"/>
  <c r="C55" i="2"/>
  <c r="C69" i="2" s="1"/>
  <c r="C89" i="2" s="1"/>
  <c r="C103" i="2" s="1"/>
  <c r="N55" i="2"/>
  <c r="M55" i="2"/>
  <c r="L55" i="2"/>
  <c r="K55" i="2"/>
  <c r="J55" i="2"/>
  <c r="I55" i="2"/>
  <c r="H55" i="2"/>
  <c r="G55" i="2"/>
  <c r="F55" i="2"/>
  <c r="E55" i="2"/>
  <c r="D55" i="2"/>
  <c r="O179" i="2"/>
  <c r="O178" i="2"/>
  <c r="O177" i="2"/>
  <c r="O175" i="2"/>
  <c r="O164" i="2"/>
  <c r="O163" i="2"/>
  <c r="O162" i="2"/>
  <c r="O161" i="2"/>
  <c r="O160" i="2"/>
  <c r="O159" i="2"/>
  <c r="O151" i="2"/>
  <c r="O157" i="2" s="1"/>
  <c r="O150" i="2"/>
  <c r="O144" i="2"/>
  <c r="O143" i="2"/>
  <c r="O142" i="2"/>
  <c r="O141" i="2"/>
  <c r="O135" i="2"/>
  <c r="O134" i="2"/>
  <c r="O133" i="2"/>
  <c r="O131" i="2"/>
  <c r="O130" i="2"/>
  <c r="O123" i="2"/>
  <c r="O122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O116" i="2"/>
  <c r="O115" i="2"/>
  <c r="O114" i="2"/>
  <c r="O99" i="2"/>
  <c r="O92" i="2"/>
  <c r="O91" i="2"/>
  <c r="O85" i="2"/>
  <c r="O77" i="2"/>
  <c r="O76" i="2"/>
  <c r="O75" i="2"/>
  <c r="O74" i="2"/>
  <c r="O73" i="2"/>
  <c r="O72" i="2"/>
  <c r="O71" i="2"/>
  <c r="O46" i="2"/>
  <c r="O45" i="2"/>
  <c r="O44" i="2"/>
  <c r="O43" i="2"/>
  <c r="O42" i="2"/>
  <c r="O41" i="2"/>
  <c r="O40" i="2"/>
  <c r="O39" i="2"/>
  <c r="O38" i="2"/>
  <c r="O30" i="2"/>
  <c r="O28" i="2"/>
  <c r="O27" i="2"/>
  <c r="O26" i="2"/>
  <c r="O25" i="2"/>
  <c r="O24" i="2"/>
  <c r="O23" i="2"/>
  <c r="O22" i="2"/>
  <c r="N20" i="2"/>
  <c r="M20" i="2"/>
  <c r="L20" i="2"/>
  <c r="K20" i="2"/>
  <c r="J20" i="2"/>
  <c r="I20" i="2"/>
  <c r="H20" i="2"/>
  <c r="G20" i="2"/>
  <c r="F20" i="2"/>
  <c r="E20" i="2"/>
  <c r="D20" i="2"/>
  <c r="C20" i="2"/>
  <c r="C35" i="2" s="1"/>
  <c r="O18" i="2"/>
  <c r="O15" i="2"/>
  <c r="O13" i="2"/>
  <c r="O12" i="2"/>
  <c r="O11" i="2"/>
  <c r="O9" i="2"/>
  <c r="O7" i="2"/>
  <c r="F104" i="5"/>
  <c r="E104" i="5"/>
  <c r="H32" i="1"/>
  <c r="G23" i="1"/>
  <c r="H23" i="1" s="1"/>
  <c r="C37" i="1"/>
  <c r="C31" i="1"/>
  <c r="B37" i="1"/>
  <c r="B31" i="1"/>
  <c r="G26" i="1"/>
  <c r="B32" i="1"/>
  <c r="G32" i="1"/>
  <c r="C32" i="1"/>
  <c r="G24" i="1"/>
  <c r="G31" i="1"/>
  <c r="G25" i="1"/>
  <c r="O183" i="2" l="1"/>
  <c r="M81" i="4"/>
  <c r="M82" i="4" s="1"/>
  <c r="E107" i="4"/>
  <c r="E108" i="4" s="1"/>
  <c r="N81" i="4"/>
  <c r="N82" i="4" s="1"/>
  <c r="D107" i="4"/>
  <c r="D108" i="4" s="1"/>
  <c r="H35" i="1"/>
  <c r="I35" i="1" s="1"/>
  <c r="O189" i="2"/>
  <c r="I190" i="2"/>
  <c r="I191" i="2" s="1"/>
  <c r="O139" i="2"/>
  <c r="O148" i="2"/>
  <c r="H190" i="2"/>
  <c r="H191" i="2" s="1"/>
  <c r="K190" i="2"/>
  <c r="K191" i="2" s="1"/>
  <c r="L190" i="2"/>
  <c r="L191" i="2" s="1"/>
  <c r="M190" i="2"/>
  <c r="M191" i="2" s="1"/>
  <c r="G190" i="2"/>
  <c r="G191" i="2" s="1"/>
  <c r="O128" i="2"/>
  <c r="O190" i="2" s="1"/>
  <c r="J190" i="2"/>
  <c r="J191" i="2" s="1"/>
  <c r="N190" i="2"/>
  <c r="N191" i="2" s="1"/>
  <c r="C190" i="2"/>
  <c r="C191" i="2" s="1"/>
  <c r="D190" i="2"/>
  <c r="D191" i="2" s="1"/>
  <c r="E190" i="2"/>
  <c r="E191" i="2" s="1"/>
  <c r="F190" i="2"/>
  <c r="F191" i="2" s="1"/>
  <c r="O89" i="2"/>
  <c r="O103" i="2" s="1"/>
  <c r="J108" i="2"/>
  <c r="J109" i="2" s="1"/>
  <c r="N108" i="2"/>
  <c r="N109" i="2" s="1"/>
  <c r="D108" i="2"/>
  <c r="D109" i="2" s="1"/>
  <c r="L108" i="2"/>
  <c r="L109" i="2" s="1"/>
  <c r="F108" i="2"/>
  <c r="F109" i="2" s="1"/>
  <c r="E108" i="2"/>
  <c r="E109" i="2" s="1"/>
  <c r="C108" i="2"/>
  <c r="C109" i="2" s="1"/>
  <c r="G108" i="2"/>
  <c r="G109" i="2" s="1"/>
  <c r="O35" i="2"/>
  <c r="I108" i="2"/>
  <c r="I109" i="2" s="1"/>
  <c r="H108" i="2"/>
  <c r="H109" i="2" s="1"/>
  <c r="O55" i="2"/>
  <c r="M108" i="2"/>
  <c r="M109" i="2" s="1"/>
  <c r="K108" i="2"/>
  <c r="K109" i="2" s="1"/>
  <c r="O20" i="2"/>
  <c r="O120" i="2"/>
  <c r="D31" i="1"/>
  <c r="B33" i="1"/>
  <c r="D37" i="1"/>
  <c r="C33" i="1"/>
  <c r="G35" i="1"/>
  <c r="I24" i="1"/>
  <c r="D32" i="1"/>
  <c r="H24" i="1"/>
  <c r="H25" i="1" s="1"/>
  <c r="M84" i="4" l="1"/>
  <c r="N84" i="4"/>
  <c r="O108" i="2"/>
  <c r="O109" i="2" s="1"/>
  <c r="H193" i="2"/>
  <c r="I193" i="2"/>
  <c r="L193" i="2"/>
  <c r="K193" i="2"/>
  <c r="N193" i="2"/>
  <c r="E193" i="2"/>
  <c r="M193" i="2"/>
  <c r="F193" i="2"/>
  <c r="J193" i="2"/>
  <c r="C193" i="2"/>
  <c r="D193" i="2"/>
  <c r="O191" i="2"/>
  <c r="G193" i="2"/>
  <c r="H26" i="1"/>
  <c r="I25" i="1"/>
  <c r="D33" i="1"/>
  <c r="O193" i="2" l="1"/>
  <c r="G28" i="1"/>
  <c r="I28" i="1" s="1"/>
  <c r="I26" i="1"/>
</calcChain>
</file>

<file path=xl/sharedStrings.xml><?xml version="1.0" encoding="utf-8"?>
<sst xmlns="http://schemas.openxmlformats.org/spreadsheetml/2006/main" count="805" uniqueCount="308">
  <si>
    <t>📊 TABLERO DE CONTROL FINANCIERO</t>
  </si>
  <si>
    <t>Mes:</t>
  </si>
  <si>
    <t>Enero 2026</t>
  </si>
  <si>
    <t>Hoy:</t>
  </si>
  <si>
    <t>📅 PRÓXIMOS PAGOS (automático)</t>
  </si>
  <si>
    <t>Concepto</t>
  </si>
  <si>
    <t>Estado</t>
  </si>
  <si>
    <t>Monto</t>
  </si>
  <si>
    <t>Acumulado</t>
  </si>
  <si>
    <t>Caja disponible</t>
  </si>
  <si>
    <t>(-) Atrasados</t>
  </si>
  <si>
    <t>(-) Esta semana</t>
  </si>
  <si>
    <t>(-) Próxima semana</t>
  </si>
  <si>
    <t>SALDO FINAL</t>
  </si>
  <si>
    <t>💵 FLUJO DEL MES</t>
  </si>
  <si>
    <t>🔄 BALANCE NT ↔ FAMILIA</t>
  </si>
  <si>
    <t>Familia</t>
  </si>
  <si>
    <t>NT</t>
  </si>
  <si>
    <t>Total</t>
  </si>
  <si>
    <t>Ingresos</t>
  </si>
  <si>
    <t>Préstamo NT → Fam</t>
  </si>
  <si>
    <t>Egresos (Pagados)</t>
  </si>
  <si>
    <t>Devolución Fam → NT</t>
  </si>
  <si>
    <t>BALANCE</t>
  </si>
  <si>
    <t>SALDO NETO</t>
  </si>
  <si>
    <t>📋 PENDIENTES DEL MES</t>
  </si>
  <si>
    <t>Total Pendientes</t>
  </si>
  <si>
    <t>CATEGORÍA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</si>
  <si>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</si>
  <si>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</si>
  <si>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</si>
  <si>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</si>
  <si>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</si>
  <si>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</si>
  <si>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</si>
  <si>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</si>
  <si>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</si>
  <si>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</si>
  <si>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</si>
  <si>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</si>
  <si>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INGRESOS FAMILIA</t>
  </si>
  <si>
    <t>TOTAL EGRESOS FAMILIA</t>
  </si>
  <si>
    <t>📌 GASTOS FIJOS - LISTA MAESTRA</t>
  </si>
  <si>
    <t>Día Venc. = día del mes que vence. Si un mes está vacío, usa el Monto Base.</t>
  </si>
  <si>
    <t>CONCEPTO</t>
  </si>
  <si>
    <t>TIPO</t>
  </si>
  <si>
    <t>DÍA</t>
  </si>
  <si>
    <t>MONTO BASE</t>
  </si>
  <si>
    <t>▼ GASTOS FIJOS FAMILIA</t>
  </si>
  <si>
    <t>Salario Lili Doméstico</t>
  </si>
  <si>
    <t>Fijo</t>
  </si>
  <si>
    <t>Salario Laura Doméstico</t>
  </si>
  <si>
    <t>Escuela Fabián y Brenda</t>
  </si>
  <si>
    <t>Robótica Niños</t>
  </si>
  <si>
    <t>ANDE Casa</t>
  </si>
  <si>
    <t>Variable</t>
  </si>
  <si>
    <t>Expensa Casa</t>
  </si>
  <si>
    <t>Cajubi Marco</t>
  </si>
  <si>
    <t>Mutual Marco</t>
  </si>
  <si>
    <t>▼ CUOTAS Y PRÉSTAMOS FAMILIA</t>
  </si>
  <si>
    <t>Auto Laura Cuota</t>
  </si>
  <si>
    <t>Coop. Universitaria Clara</t>
  </si>
  <si>
    <t>Solar Préstamo 1</t>
  </si>
  <si>
    <t>Solar Préstamo 2</t>
  </si>
  <si>
    <t>▼ SUSCRIPCIONES FAMILIA</t>
  </si>
  <si>
    <t>Giganet</t>
  </si>
  <si>
    <t>Tigo Internet/Celulares</t>
  </si>
  <si>
    <t>▼ GASTOS FIJOS NEUROTEA</t>
  </si>
  <si>
    <t>Alquiler 1 (Principal)</t>
  </si>
  <si>
    <t>Alquiler 2 (Secundario)</t>
  </si>
  <si>
    <t>Limpieza NeuroTEA</t>
  </si>
  <si>
    <t>▼ SUELDOS Y HONORARIOS NT</t>
  </si>
  <si>
    <t>Sueldo Aracely</t>
  </si>
  <si>
    <t>Sueldo Fátima</t>
  </si>
  <si>
    <t>Honorario Contador</t>
  </si>
  <si>
    <t>Salario Admin Marco</t>
  </si>
  <si>
    <t>Honorario Mant. Sistema</t>
  </si>
  <si>
    <t>▼ TELEFONÍA NT</t>
  </si>
  <si>
    <t>Celular Tigo NeuroTEA</t>
  </si>
  <si>
    <t>WhatsFlow</t>
  </si>
  <si>
    <t>Internet NeuroTEA</t>
  </si>
  <si>
    <t>▼ IMPUESTOS NT</t>
  </si>
  <si>
    <t>IVA</t>
  </si>
  <si>
    <t>Combustible</t>
  </si>
  <si>
    <t>Insumos NT</t>
  </si>
  <si>
    <t>Supermercado</t>
  </si>
  <si>
    <t>Papelería NT</t>
  </si>
  <si>
    <t>Farmacia</t>
  </si>
  <si>
    <t>Mantenimiento NT</t>
  </si>
  <si>
    <t>Recreación</t>
  </si>
  <si>
    <t>Capacitación</t>
  </si>
  <si>
    <t>Gastos Varios Fam</t>
  </si>
  <si>
    <t>Gastos Varios NT</t>
  </si>
  <si>
    <t>📝 REGISTRO - ENERO 2026</t>
  </si>
  <si>
    <t>FECHA</t>
  </si>
  <si>
    <t>DESCRIPCIÓN</t>
  </si>
  <si>
    <t>INGRESO</t>
  </si>
  <si>
    <t>EGRESO</t>
  </si>
  <si>
    <t>CUENTA</t>
  </si>
  <si>
    <t>NOTAS</t>
  </si>
  <si>
    <t>TOTALES:</t>
  </si>
  <si>
    <t>⚙️ CONFIGURACIÓN DEL SISTEMA</t>
  </si>
  <si>
    <t>TIPOS</t>
  </si>
  <si>
    <t>CAT. EGRESO FAM</t>
  </si>
  <si>
    <t>CAT. EGRESO NT</t>
  </si>
  <si>
    <t>CUENTAS</t>
  </si>
  <si>
    <t>ESTADOS</t>
  </si>
  <si>
    <t>CATEGORÍAS</t>
  </si>
  <si>
    <t>Ingreso Marco</t>
  </si>
  <si>
    <t>Atlas</t>
  </si>
  <si>
    <t>Ninguno</t>
  </si>
  <si>
    <t>Salario Mensual</t>
  </si>
  <si>
    <t>Ingreso Clara</t>
  </si>
  <si>
    <t>ITAU Marco</t>
  </si>
  <si>
    <t>Pendiente</t>
  </si>
  <si>
    <t>Vacaciones</t>
  </si>
  <si>
    <t>Ingreso NT</t>
  </si>
  <si>
    <t>ITAU Clara</t>
  </si>
  <si>
    <t>Pagado</t>
  </si>
  <si>
    <t>Aguinaldo</t>
  </si>
  <si>
    <t>Egreso Familiar</t>
  </si>
  <si>
    <t>UENO Clara</t>
  </si>
  <si>
    <t>Cancelado</t>
  </si>
  <si>
    <t>Viático</t>
  </si>
  <si>
    <t>Egreso NT</t>
  </si>
  <si>
    <t>Coop. Universitaria</t>
  </si>
  <si>
    <t>Animador Bíblico</t>
  </si>
  <si>
    <t>Préstamo NT → Familia</t>
  </si>
  <si>
    <t>Caja NT</t>
  </si>
  <si>
    <t>Honorarios Diarios</t>
  </si>
  <si>
    <t>Devolución Familia → NT</t>
  </si>
  <si>
    <t>Efectivo Personal</t>
  </si>
  <si>
    <t>Sesiones Individuales</t>
  </si>
  <si>
    <t>Paquetes Prepagados</t>
  </si>
  <si>
    <t>Evaluaciones</t>
  </si>
  <si>
    <t>Préstamo NT</t>
  </si>
  <si>
    <t>Devolución</t>
  </si>
  <si>
    <t>Otros</t>
  </si>
  <si>
    <t>📊 PRESUPUESTO ANUAL 2026</t>
  </si>
  <si>
    <t>Cargar los montos previstos para cada mes. El sistema comparará automáticamente con los gastos reales.</t>
  </si>
  <si>
    <t>TOTAL AÑO</t>
  </si>
  <si>
    <t>═══ PRESUPUESTO FAMILIA ═══</t>
  </si>
  <si>
    <t>► INGRESOS FAMILIA</t>
  </si>
  <si>
    <t>Salario Marco</t>
  </si>
  <si>
    <t>Vacaciones Marco</t>
  </si>
  <si>
    <t>Viático Marco</t>
  </si>
  <si>
    <t>Honorarios Clara NeuroTEA</t>
  </si>
  <si>
    <t>► EGRESOS FAMILIA - GASTOS FIJOS</t>
  </si>
  <si>
    <t>Ña Luisa</t>
  </si>
  <si>
    <t>Seguro Médico Papá y Mamá</t>
  </si>
  <si>
    <t>Reserva</t>
  </si>
  <si>
    <t>► EGRESOS FAMILIA - CUOTAS Y PRÉSTAMOS</t>
  </si>
  <si>
    <t>Seguro Auto Laura ITAU</t>
  </si>
  <si>
    <t xml:space="preserve">Cuota ITAU </t>
  </si>
  <si>
    <t>Coomecipar Clara</t>
  </si>
  <si>
    <t>Show Congelador</t>
  </si>
  <si>
    <t>► EGRESOS FAMILIA - SUSCRIPCIONES</t>
  </si>
  <si>
    <t>Tigo Familiar</t>
  </si>
  <si>
    <t>Google One</t>
  </si>
  <si>
    <t>ChatGPT</t>
  </si>
  <si>
    <t>Claude Marco</t>
  </si>
  <si>
    <t>Claude Clara</t>
  </si>
  <si>
    <t>iLovePDF</t>
  </si>
  <si>
    <t>► EGRESOS FAMILIA - VARIABLES</t>
  </si>
  <si>
    <t>Ropa/Vestidos</t>
  </si>
  <si>
    <t>Recreación (Pizza, hamburguesa, helados, etc)</t>
  </si>
  <si>
    <t>Salud y Medicamentos</t>
  </si>
  <si>
    <t>Gastos no identificados</t>
  </si>
  <si>
    <t>BALANCE FAMILIA (Ingresos - Egresos)</t>
  </si>
  <si>
    <t>═══ PRESUPUESTO NEUROTEA ═══</t>
  </si>
  <si>
    <t>► INGRESOS NEUROTEA</t>
  </si>
  <si>
    <t>TOTAL INGRESOS NEUROTEA</t>
  </si>
  <si>
    <t>► EGRESOS NT - SUELDOS Y HONORARIOS</t>
  </si>
  <si>
    <t>Salario Administrador</t>
  </si>
  <si>
    <t>► EGRESOS NT - TELEFONÍA E INTERNET</t>
  </si>
  <si>
    <t>Celular Tigo Sistema</t>
  </si>
  <si>
    <t>IPS</t>
  </si>
  <si>
    <t>► EGRESOS NT - EVENTOS</t>
  </si>
  <si>
    <t>► EGRESOS NT - VARIABLES</t>
  </si>
  <si>
    <t>TOTAL EGRESOS NEUROTEA</t>
  </si>
  <si>
    <t>BALANCE NEUROTEA (Ingresos - Egresos)</t>
  </si>
  <si>
    <t>► EGRESOS FAMILIA - OBLIGACIONES LEGALES</t>
  </si>
  <si>
    <t>SUBTOTAL CUOTAS Y PRESTAMOS</t>
  </si>
  <si>
    <t>SUBTOTAL GASTOS FIJOS</t>
  </si>
  <si>
    <t xml:space="preserve">Aporte IPS </t>
  </si>
  <si>
    <t>Aporte Cajubi</t>
  </si>
  <si>
    <t>Aporte STEIBI</t>
  </si>
  <si>
    <t>Aporte SICHAP</t>
  </si>
  <si>
    <t>Impuesto compra digital</t>
  </si>
  <si>
    <t xml:space="preserve">Préstamo Lizzi </t>
  </si>
  <si>
    <t>Remedio Lochi</t>
  </si>
  <si>
    <t>Pago Minimo Tarj Credito ITAU clara</t>
  </si>
  <si>
    <t>Pago Minimo Tarj Credito ITAU Marco</t>
  </si>
  <si>
    <t>Pago Minimo Tarj Credito Solar Clara</t>
  </si>
  <si>
    <t>Aporte y Solidaridad Coop. Univer. Clara</t>
  </si>
  <si>
    <t>Aporte y Solidaridad Coop. Univer. Marco</t>
  </si>
  <si>
    <t>Impuesto a la Renta personal</t>
  </si>
  <si>
    <t>Impuesto del terreno casa</t>
  </si>
  <si>
    <t>Salario Marco NeuroTEA</t>
  </si>
  <si>
    <t>Animador Bíblico Marco</t>
  </si>
  <si>
    <t>PosterWall</t>
  </si>
  <si>
    <t>Microsoft Ofice Clara (Anual)</t>
  </si>
  <si>
    <t>Microsoft Office Marco (Anual)</t>
  </si>
  <si>
    <t>Antivirus Clara (Anual)</t>
  </si>
  <si>
    <t>Antivirus Marco  (Anual)</t>
  </si>
  <si>
    <t>Canva (Anual)</t>
  </si>
  <si>
    <t>Scribd</t>
  </si>
  <si>
    <t>SUBTOTAL SUSCRIPCIONES</t>
  </si>
  <si>
    <t>SUBTOTAL OBLIGACIONES LEGALES</t>
  </si>
  <si>
    <t>Pago Minimo Tarj Credito Comecipar clara</t>
  </si>
  <si>
    <t>SUBTOTAL VARIABLES</t>
  </si>
  <si>
    <t>Tigo Clara</t>
  </si>
  <si>
    <t>Contadora Marco</t>
  </si>
  <si>
    <t>► EGRESOS NT - OBLIGACIONES LEGALES</t>
  </si>
  <si>
    <t>Mora de Alquiler</t>
  </si>
  <si>
    <t>Cursos NeuroTEA</t>
  </si>
  <si>
    <t>Aporte NeuroTEA Terapeutas</t>
  </si>
  <si>
    <t>Ministerio de Salud</t>
  </si>
  <si>
    <t xml:space="preserve">Insumos y Papelería </t>
  </si>
  <si>
    <t>Mantenimiento Aire</t>
  </si>
  <si>
    <t>ANDE clinica</t>
  </si>
  <si>
    <t>Día del Niño</t>
  </si>
  <si>
    <t xml:space="preserve">San Juan </t>
  </si>
  <si>
    <t>Día del Autismo</t>
  </si>
  <si>
    <t>Clausura Padres</t>
  </si>
  <si>
    <t>Navidad Papá Noel</t>
  </si>
  <si>
    <t>Cena Fin de Año</t>
  </si>
  <si>
    <t>Reparaciones Clinica</t>
  </si>
  <si>
    <t xml:space="preserve">Gastos Cursos </t>
  </si>
  <si>
    <t>Gastos Varios Cumple (Tortas, bocaditos, meriendas)</t>
  </si>
  <si>
    <t>► EGRESOS NT - CLINICA</t>
  </si>
  <si>
    <t>TOTAL EGRESOS CLINICA</t>
  </si>
  <si>
    <t>TOTAL SUELDOS Y HONORARIOS</t>
  </si>
  <si>
    <t>TOTAL TELEFONÍA E INTERNET</t>
  </si>
  <si>
    <t>TOTAL OBLIGACIONES LEGALES</t>
  </si>
  <si>
    <t>TOTAL GASTOS EVENTOS</t>
  </si>
  <si>
    <t>TOTAL GASTOS VARIABLES</t>
  </si>
  <si>
    <t>BALANCE TOTAL CONSOLIDADO FAM/NT</t>
  </si>
  <si>
    <t>Mantenimiento / Reparaciones Auto Clara</t>
  </si>
  <si>
    <t>Mantenimiento / Reparaciones Auto Niños</t>
  </si>
  <si>
    <t>Mantenimiento / Reparaciones Camioneta Marco</t>
  </si>
  <si>
    <t>Tipo</t>
  </si>
  <si>
    <t>Tarjeta Gourmed</t>
  </si>
  <si>
    <t>Saldo Aguinaldo Marco</t>
  </si>
  <si>
    <t>Adelanto de Aguinaldo Marco</t>
  </si>
  <si>
    <t>Contrato Colectivo Marco</t>
  </si>
  <si>
    <t>PL Itaipu Marco</t>
  </si>
  <si>
    <t>Prestamo Otros Bancos</t>
  </si>
  <si>
    <t xml:space="preserve">Prestamo NeuroTEA </t>
  </si>
  <si>
    <t>► EGRESO - AHORRO FAMILIA</t>
  </si>
  <si>
    <t>Ahorro Clara</t>
  </si>
  <si>
    <t>Ahorro Marco</t>
  </si>
  <si>
    <t>SUBTOTAL AHORROS</t>
  </si>
  <si>
    <t>► EGRESO - GANANCIA NEUROTEA</t>
  </si>
  <si>
    <t>Fondo de emergencia</t>
  </si>
  <si>
    <t>Fondo de Inversion</t>
  </si>
  <si>
    <t>Porcentaje</t>
  </si>
  <si>
    <t>TOTAL GANANCIA NEUROTEA</t>
  </si>
  <si>
    <t>Utilidad al propietario</t>
  </si>
  <si>
    <t>Préstamo Fam → NT</t>
  </si>
  <si>
    <t>Devolución NT → Fam</t>
  </si>
  <si>
    <t>Monto (Mes)</t>
  </si>
  <si>
    <t>NEUROTEA</t>
  </si>
  <si>
    <t>Porcentaje de Gastos</t>
  </si>
  <si>
    <t>Esperado</t>
  </si>
  <si>
    <t>Real</t>
  </si>
  <si>
    <t>Ganancia</t>
  </si>
  <si>
    <t>Utilidad del dueño</t>
  </si>
  <si>
    <t>Fondo de improviso</t>
  </si>
  <si>
    <t>G/3</t>
  </si>
  <si>
    <t xml:space="preserve">INDICADORES GLOBALES </t>
  </si>
  <si>
    <t>Saldo ITAU Marco</t>
  </si>
  <si>
    <t>Saldo Atlas NeuroTEA</t>
  </si>
  <si>
    <t>Diferencia</t>
  </si>
  <si>
    <t>Saldo Coop Univ. Marco</t>
  </si>
  <si>
    <t>Saldo Coop Univ. Clara</t>
  </si>
  <si>
    <t>Saldo Tarjeta Solar</t>
  </si>
  <si>
    <t>Saldo Credito Itau Clara</t>
  </si>
  <si>
    <t>Saldo Credito Itau Marco</t>
  </si>
  <si>
    <t>INFORMACION DE CUENTAS FAMILIAR</t>
  </si>
  <si>
    <t>INFORMACION DE CUENTAS NEUROTEA</t>
  </si>
  <si>
    <t>Saldo Utilidad del dueño</t>
  </si>
  <si>
    <t>Saldo Fondo Emergencia</t>
  </si>
  <si>
    <t>Saldo Fondo Inversion</t>
  </si>
  <si>
    <t>Saldo Gourmed</t>
  </si>
  <si>
    <t>Saldo Costos Operativos</t>
  </si>
  <si>
    <t>📊 CONTROL -</t>
  </si>
  <si>
    <t>═══ FAMILIA ═══</t>
  </si>
  <si>
    <t>═══ NEUROTEA ═══</t>
  </si>
  <si>
    <t>Presupuestado</t>
  </si>
  <si>
    <t>Fijo /Mensual</t>
  </si>
  <si>
    <t>Variable / Mensual</t>
  </si>
  <si>
    <t>Variable/Mensual</t>
  </si>
  <si>
    <t>Aporte IPS marco</t>
  </si>
  <si>
    <t>Variable / Anual</t>
  </si>
  <si>
    <t>Variable /Anual</t>
  </si>
  <si>
    <t>Variable/Anual</t>
  </si>
  <si>
    <t>Variable/ Mensual</t>
  </si>
  <si>
    <t>Fijo/Mensual</t>
  </si>
  <si>
    <t>Variable/mensual</t>
  </si>
  <si>
    <t>Fijo/Anual</t>
  </si>
  <si>
    <t>-30%</t>
  </si>
  <si>
    <t>Ahorro</t>
  </si>
  <si>
    <t>CONTROL DE GASTOS - MOVIMIENTOS</t>
  </si>
  <si>
    <t>RESUMEN DEL PRESUPUESTO MENSUAL VERSUS EL REAL NEUROTEA</t>
  </si>
  <si>
    <t>RESUMEN DEL PRESUPUESTO MENSUAL VERSUS EL REAL FAMILIA</t>
  </si>
  <si>
    <t>Fecha</t>
  </si>
  <si>
    <t xml:space="preserve">Fecha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</si>
</sst>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3" x14ac:knownFonts="1">
    <font>
      <sz val="11"/>
      <color theme="1"/>
      <name val="Calibri"/>
      <family val="2"/>
      <scheme val="minor"/>
    </font>
    <font>
      <b/>
      <sz val="16"/>
      <color rgb="FF2C3E50"/>
      <name val="Calibri"/>
      <family val="2"/>
    </font>
    <font>
      <b/>
      <sz val="9"/>
      <color rgb="FFFFFFFF"/>
      <name val="Calibri"/>
      <family val="2"/>
    </font>
    <font>
      <i/>
      <sz val="9"/>
      <color rgb="FF666666"/>
      <name val="Calibri"/>
      <family val="2"/>
    </font>
    <font>
      <b/>
      <sz val="11"/>
      <color rgb="FFFFFFFF"/>
      <name val="Calibri"/>
      <family val="2"/>
    </font>
    <font>
      <b/>
      <sz val="14"/>
      <color rgb="FF2C3E50"/>
      <name val="Calibri"/>
      <family val="2"/>
    </font>
    <font>
      <b/>
      <sz val="10"/>
      <name val="Calibri"/>
      <family val="2"/>
    </font>
    <font>
      <sz val="10"/>
      <color rgb="FF2C3E50"/>
      <name val="Calibri"/>
      <family val="2"/>
    </font>
    <font>
      <b/>
      <sz val="10"/>
      <color rgb="FFFFFFFF"/>
      <name val="Calibri"/>
      <family val="2"/>
    </font>
    <font>
      <b/>
      <sz val="11"/>
      <name val="Calibri"/>
      <family val="2"/>
    </font>
    <font>
      <b/>
      <sz val="18"/>
      <color rgb="FF2C3E50"/>
      <name val="Calibri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6"/>
      <name val="Calibri"/>
      <family val="2"/>
    </font>
    <font>
      <i/>
      <sz val="10"/>
      <color rgb="FF666666"/>
      <name val="Calibri"/>
      <family val="2"/>
    </font>
    <font>
      <sz val="10"/>
      <color theme="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4"/>
      <color rgb="FFFFFFFF"/>
      <name val="Calibri"/>
      <family val="2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rgb="FFFFFFFF"/>
      <name val="Calibri"/>
      <family val="2"/>
    </font>
    <font>
      <sz val="20"/>
      <color theme="1"/>
      <name val="Calibri"/>
      <family val="2"/>
      <scheme val="minor"/>
    </font>
    <font>
      <b/>
      <sz val="14"/>
      <name val="Calibri"/>
      <family val="2"/>
    </font>
    <font>
      <sz val="14"/>
      <name val="Calibri"/>
      <family val="2"/>
    </font>
    <font>
      <b/>
      <sz val="11"/>
      <color theme="1"/>
      <name val="Calibri"/>
      <family val="2"/>
    </font>
    <font>
      <b/>
      <sz val="10"/>
      <color theme="0"/>
      <name val="Calibri"/>
      <family val="2"/>
    </font>
    <font>
      <sz val="14"/>
      <color rgb="FF2C3E50"/>
      <name val="Calibri"/>
      <family val="2"/>
    </font>
    <font>
      <sz val="12"/>
      <color theme="1"/>
      <name val="Calibri"/>
      <family val="2"/>
      <scheme val="minor"/>
    </font>
    <font>
      <sz val="10"/>
      <name val="Calibri"/>
      <family val="2"/>
    </font>
    <font>
      <sz val="8"/>
      <name val="Calibri"/>
      <family val="2"/>
      <scheme val="minor"/>
    </font>
    <font>
      <sz val="18"/>
      <color rgb="FF2C3E50"/>
      <name val="Calibri"/>
      <family val="2"/>
    </font>
    <font>
      <b/>
      <sz val="2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9B59B6"/>
        <bgColor rgb="FF9B59B6"/>
      </patternFill>
    </fill>
    <fill>
      <patternFill patternType="solid">
        <fgColor rgb="FFE67E22"/>
        <bgColor rgb="FFE67E22"/>
      </patternFill>
    </fill>
    <fill>
      <patternFill patternType="solid">
        <fgColor rgb="FF5D6D7E"/>
        <bgColor rgb="FF5D6D7E"/>
      </patternFill>
    </fill>
    <fill>
      <patternFill patternType="solid">
        <fgColor rgb="FFD6EAF8"/>
        <bgColor rgb="FFD6EAF8"/>
      </patternFill>
    </fill>
    <fill>
      <patternFill patternType="solid">
        <fgColor rgb="FF27AE60"/>
        <bgColor rgb="FF27AE60"/>
      </patternFill>
    </fill>
    <fill>
      <patternFill patternType="solid">
        <fgColor rgb="FFD9E2F3"/>
        <bgColor rgb="FFD9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5911"/>
        <bgColor rgb="FFC65911"/>
      </patternFill>
    </fill>
    <fill>
      <patternFill patternType="solid">
        <fgColor theme="3" tint="-0.249977111117893"/>
        <bgColor rgb="FF4472C4"/>
      </patternFill>
    </fill>
    <fill>
      <patternFill patternType="solid">
        <fgColor theme="5" tint="-0.249977111117893"/>
        <bgColor rgb="FF1F4E79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rgb="FFFFF2CC"/>
      </patternFill>
    </fill>
    <fill>
      <patternFill patternType="solid">
        <fgColor theme="5" tint="0.79998168889431442"/>
        <bgColor rgb="FFE2EFDA"/>
      </patternFill>
    </fill>
    <fill>
      <patternFill patternType="solid">
        <fgColor theme="8" tint="0.79998168889431442"/>
        <bgColor rgb="FFFFF2CC"/>
      </patternFill>
    </fill>
    <fill>
      <patternFill patternType="solid">
        <fgColor rgb="FF0094C8"/>
        <bgColor rgb="FF1F4E79"/>
      </patternFill>
    </fill>
    <fill>
      <patternFill patternType="solid">
        <fgColor rgb="FF0094C8"/>
        <bgColor indexed="64"/>
      </patternFill>
    </fill>
    <fill>
      <patternFill patternType="solid">
        <fgColor theme="9" tint="0.79998168889431442"/>
        <bgColor rgb="FFE2EFDA"/>
      </patternFill>
    </fill>
    <fill>
      <patternFill patternType="solid">
        <fgColor rgb="FFFFCDCD"/>
        <bgColor rgb="FFE2EFDA"/>
      </patternFill>
    </fill>
    <fill>
      <patternFill patternType="solid">
        <fgColor theme="2"/>
        <bgColor rgb="FF9B59B6"/>
      </patternFill>
    </fill>
    <fill>
      <patternFill patternType="solid">
        <fgColor theme="2"/>
        <bgColor indexed="64"/>
      </patternFill>
    </fill>
    <fill>
      <patternFill patternType="solid">
        <fgColor rgb="FF0094C8"/>
        <bgColor rgb="FFE67E22"/>
      </patternFill>
    </fill>
    <fill>
      <patternFill patternType="solid">
        <fgColor rgb="FF00863D"/>
        <bgColor rgb="FFD9E2F3"/>
      </patternFill>
    </fill>
    <fill>
      <patternFill patternType="solid">
        <fgColor rgb="FFFFFFCC"/>
        <bgColor rgb="FFD6EAF8"/>
      </patternFill>
    </fill>
    <fill>
      <patternFill patternType="solid">
        <fgColor rgb="FFC00000"/>
        <bgColor rgb="FF3498DB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94C8"/>
        <bgColor rgb="FF3498DB"/>
      </patternFill>
    </fill>
  </fills>
  <borders count="8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3" fillId="0" borderId="0" xfId="0" applyFont="1"/>
    <xf numFmtId="0" fontId="2" fillId="5" borderId="1" xfId="0" applyFont="1" applyFill="1" applyBorder="1" applyAlignment="1">
      <alignment horizontal="center" vertical="center"/>
    </xf>
    <xf numFmtId="0" fontId="0" fillId="0" borderId="1" xfId="0" applyBorder="1"/>
    <xf numFmtId="3" fontId="0" fillId="6" borderId="1" xfId="0" applyNumberFormat="1" applyFill="1" applyBorder="1"/>
    <xf numFmtId="0" fontId="7" fillId="6" borderId="1" xfId="0" applyFont="1" applyFill="1" applyBorder="1"/>
    <xf numFmtId="0" fontId="8" fillId="5" borderId="1" xfId="0" applyFont="1" applyFill="1" applyBorder="1" applyAlignment="1">
      <alignment horizontal="center" vertical="center"/>
    </xf>
    <xf numFmtId="164" fontId="7" fillId="6" borderId="1" xfId="0" applyNumberFormat="1" applyFont="1" applyFill="1" applyBorder="1"/>
    <xf numFmtId="3" fontId="7" fillId="6" borderId="1" xfId="0" applyNumberFormat="1" applyFont="1" applyFill="1" applyBorder="1"/>
    <xf numFmtId="0" fontId="9" fillId="0" borderId="0" xfId="0" applyFont="1"/>
    <xf numFmtId="3" fontId="9" fillId="0" borderId="0" xfId="0" applyNumberFormat="1" applyFont="1"/>
    <xf numFmtId="0" fontId="8" fillId="2" borderId="0" xfId="0" applyFont="1" applyFill="1"/>
    <xf numFmtId="0" fontId="6" fillId="8" borderId="2" xfId="0" applyFont="1" applyFill="1" applyBorder="1"/>
    <xf numFmtId="0" fontId="0" fillId="8" borderId="2" xfId="0" applyFill="1" applyBorder="1"/>
    <xf numFmtId="0" fontId="15" fillId="0" borderId="2" xfId="0" applyFont="1" applyBorder="1"/>
    <xf numFmtId="3" fontId="15" fillId="0" borderId="2" xfId="0" applyNumberFormat="1" applyFont="1" applyBorder="1" applyAlignment="1">
      <alignment horizontal="right"/>
    </xf>
    <xf numFmtId="3" fontId="0" fillId="0" borderId="2" xfId="0" applyNumberFormat="1" applyBorder="1"/>
    <xf numFmtId="0" fontId="15" fillId="9" borderId="2" xfId="0" applyFont="1" applyFill="1" applyBorder="1"/>
    <xf numFmtId="3" fontId="15" fillId="9" borderId="2" xfId="0" applyNumberFormat="1" applyFont="1" applyFill="1" applyBorder="1" applyAlignment="1">
      <alignment horizontal="right"/>
    </xf>
    <xf numFmtId="3" fontId="0" fillId="9" borderId="2" xfId="0" applyNumberFormat="1" applyFill="1" applyBorder="1"/>
    <xf numFmtId="3" fontId="12" fillId="0" borderId="2" xfId="0" applyNumberFormat="1" applyFont="1" applyBorder="1"/>
    <xf numFmtId="0" fontId="4" fillId="11" borderId="2" xfId="0" applyFont="1" applyFill="1" applyBorder="1" applyAlignment="1">
      <alignment horizontal="center"/>
    </xf>
    <xf numFmtId="0" fontId="0" fillId="0" borderId="2" xfId="0" applyBorder="1"/>
    <xf numFmtId="0" fontId="6" fillId="14" borderId="2" xfId="0" applyFont="1" applyFill="1" applyBorder="1"/>
    <xf numFmtId="0" fontId="0" fillId="14" borderId="2" xfId="0" applyFill="1" applyBorder="1"/>
    <xf numFmtId="0" fontId="16" fillId="15" borderId="2" xfId="0" applyFont="1" applyFill="1" applyBorder="1"/>
    <xf numFmtId="3" fontId="16" fillId="15" borderId="2" xfId="0" applyNumberFormat="1" applyFont="1" applyFill="1" applyBorder="1"/>
    <xf numFmtId="0" fontId="23" fillId="17" borderId="2" xfId="0" applyFont="1" applyFill="1" applyBorder="1"/>
    <xf numFmtId="3" fontId="24" fillId="17" borderId="2" xfId="0" applyNumberFormat="1" applyFont="1" applyFill="1" applyBorder="1"/>
    <xf numFmtId="0" fontId="23" fillId="18" borderId="2" xfId="0" applyFont="1" applyFill="1" applyBorder="1"/>
    <xf numFmtId="3" fontId="24" fillId="18" borderId="2" xfId="0" applyNumberFormat="1" applyFont="1" applyFill="1" applyBorder="1"/>
    <xf numFmtId="0" fontId="16" fillId="21" borderId="2" xfId="0" applyFont="1" applyFill="1" applyBorder="1"/>
    <xf numFmtId="3" fontId="16" fillId="21" borderId="2" xfId="0" applyNumberFormat="1" applyFont="1" applyFill="1" applyBorder="1"/>
    <xf numFmtId="0" fontId="19" fillId="0" borderId="0" xfId="0" applyFont="1"/>
    <xf numFmtId="0" fontId="18" fillId="10" borderId="2" xfId="0" applyFont="1" applyFill="1" applyBorder="1"/>
    <xf numFmtId="3" fontId="18" fillId="10" borderId="2" xfId="0" applyNumberFormat="1" applyFont="1" applyFill="1" applyBorder="1"/>
    <xf numFmtId="0" fontId="23" fillId="22" borderId="2" xfId="0" applyFont="1" applyFill="1" applyBorder="1"/>
    <xf numFmtId="3" fontId="23" fillId="22" borderId="2" xfId="0" applyNumberFormat="1" applyFont="1" applyFill="1" applyBorder="1"/>
    <xf numFmtId="0" fontId="23" fillId="16" borderId="2" xfId="0" applyFont="1" applyFill="1" applyBorder="1"/>
    <xf numFmtId="3" fontId="23" fillId="16" borderId="2" xfId="0" applyNumberFormat="1" applyFont="1" applyFill="1" applyBorder="1"/>
    <xf numFmtId="14" fontId="0" fillId="6" borderId="1" xfId="0" applyNumberFormat="1" applyFill="1" applyBorder="1" applyAlignment="1">
      <alignment horizontal="center" vertical="center"/>
    </xf>
    <xf numFmtId="0" fontId="25" fillId="23" borderId="0" xfId="0" applyFont="1" applyFill="1"/>
    <xf numFmtId="0" fontId="0" fillId="24" borderId="0" xfId="0" applyFill="1"/>
    <xf numFmtId="0" fontId="18" fillId="5" borderId="1" xfId="0" applyFont="1" applyFill="1" applyBorder="1"/>
    <xf numFmtId="0" fontId="19" fillId="0" borderId="1" xfId="0" applyFont="1" applyBorder="1"/>
    <xf numFmtId="3" fontId="19" fillId="0" borderId="1" xfId="0" applyNumberFormat="1" applyFont="1" applyBorder="1"/>
    <xf numFmtId="0" fontId="19" fillId="0" borderId="0" xfId="0" applyFont="1" applyAlignment="1">
      <alignment horizontal="center"/>
    </xf>
    <xf numFmtId="0" fontId="15" fillId="0" borderId="2" xfId="0" applyFont="1" applyBorder="1" applyAlignment="1">
      <alignment horizontal="center"/>
    </xf>
    <xf numFmtId="0" fontId="6" fillId="14" borderId="2" xfId="0" applyFont="1" applyFill="1" applyBorder="1" applyAlignment="1">
      <alignment horizontal="center"/>
    </xf>
    <xf numFmtId="0" fontId="16" fillId="15" borderId="2" xfId="0" applyFont="1" applyFill="1" applyBorder="1" applyAlignment="1">
      <alignment horizontal="center"/>
    </xf>
    <xf numFmtId="0" fontId="15" fillId="9" borderId="2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23" fillId="17" borderId="2" xfId="0" applyFont="1" applyFill="1" applyBorder="1" applyAlignment="1">
      <alignment horizontal="center"/>
    </xf>
    <xf numFmtId="0" fontId="23" fillId="18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6" fillId="21" borderId="2" xfId="0" applyFont="1" applyFill="1" applyBorder="1" applyAlignment="1">
      <alignment horizontal="center"/>
    </xf>
    <xf numFmtId="0" fontId="23" fillId="22" borderId="2" xfId="0" applyFont="1" applyFill="1" applyBorder="1" applyAlignment="1">
      <alignment horizontal="center"/>
    </xf>
    <xf numFmtId="0" fontId="23" fillId="16" borderId="2" xfId="0" applyFont="1" applyFill="1" applyBorder="1" applyAlignment="1">
      <alignment horizontal="center"/>
    </xf>
    <xf numFmtId="0" fontId="18" fillId="10" borderId="2" xfId="0" applyFont="1" applyFill="1" applyBorder="1" applyAlignment="1">
      <alignment horizontal="center"/>
    </xf>
    <xf numFmtId="0" fontId="29" fillId="0" borderId="2" xfId="0" applyFont="1" applyBorder="1"/>
    <xf numFmtId="0" fontId="29" fillId="0" borderId="2" xfId="0" applyFont="1" applyBorder="1" applyAlignment="1">
      <alignment horizontal="center"/>
    </xf>
    <xf numFmtId="0" fontId="17" fillId="0" borderId="2" xfId="0" applyFont="1" applyBorder="1"/>
    <xf numFmtId="0" fontId="17" fillId="0" borderId="2" xfId="0" applyFont="1" applyBorder="1" applyAlignment="1">
      <alignment horizontal="center"/>
    </xf>
    <xf numFmtId="3" fontId="17" fillId="0" borderId="2" xfId="0" applyNumberFormat="1" applyFont="1" applyBorder="1"/>
    <xf numFmtId="0" fontId="26" fillId="26" borderId="2" xfId="0" applyFont="1" applyFill="1" applyBorder="1"/>
    <xf numFmtId="0" fontId="26" fillId="26" borderId="2" xfId="0" applyFont="1" applyFill="1" applyBorder="1" applyAlignment="1">
      <alignment horizontal="center"/>
    </xf>
    <xf numFmtId="0" fontId="11" fillId="26" borderId="2" xfId="0" applyFont="1" applyFill="1" applyBorder="1"/>
    <xf numFmtId="0" fontId="27" fillId="6" borderId="0" xfId="0" applyFont="1" applyFill="1"/>
    <xf numFmtId="164" fontId="19" fillId="0" borderId="0" xfId="0" applyNumberFormat="1" applyFont="1"/>
    <xf numFmtId="0" fontId="23" fillId="0" borderId="1" xfId="0" applyFont="1" applyBorder="1"/>
    <xf numFmtId="3" fontId="23" fillId="0" borderId="1" xfId="0" applyNumberFormat="1" applyFont="1" applyBorder="1"/>
    <xf numFmtId="0" fontId="18" fillId="5" borderId="1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9" fontId="27" fillId="27" borderId="1" xfId="0" applyNumberFormat="1" applyFont="1" applyFill="1" applyBorder="1" applyAlignment="1">
      <alignment horizontal="center"/>
    </xf>
    <xf numFmtId="0" fontId="19" fillId="15" borderId="0" xfId="0" applyFont="1" applyFill="1"/>
    <xf numFmtId="0" fontId="19" fillId="15" borderId="0" xfId="0" quotePrefix="1" applyFont="1" applyFill="1" applyAlignment="1">
      <alignment horizontal="center"/>
    </xf>
    <xf numFmtId="0" fontId="28" fillId="0" borderId="0" xfId="0" applyFont="1"/>
    <xf numFmtId="0" fontId="20" fillId="0" borderId="0" xfId="0" applyFont="1"/>
    <xf numFmtId="17" fontId="31" fillId="6" borderId="0" xfId="0" applyNumberFormat="1" applyFont="1" applyFill="1"/>
    <xf numFmtId="0" fontId="4" fillId="11" borderId="6" xfId="0" applyFont="1" applyFill="1" applyBorder="1" applyAlignment="1">
      <alignment horizontal="center"/>
    </xf>
    <xf numFmtId="0" fontId="0" fillId="14" borderId="5" xfId="0" applyFill="1" applyBorder="1"/>
    <xf numFmtId="3" fontId="15" fillId="0" borderId="5" xfId="0" applyNumberFormat="1" applyFont="1" applyBorder="1" applyAlignment="1">
      <alignment horizontal="right"/>
    </xf>
    <xf numFmtId="3" fontId="16" fillId="15" borderId="5" xfId="0" applyNumberFormat="1" applyFont="1" applyFill="1" applyBorder="1"/>
    <xf numFmtId="3" fontId="15" fillId="9" borderId="5" xfId="0" applyNumberFormat="1" applyFont="1" applyFill="1" applyBorder="1" applyAlignment="1">
      <alignment horizontal="right"/>
    </xf>
    <xf numFmtId="0" fontId="0" fillId="8" borderId="5" xfId="0" applyFill="1" applyBorder="1"/>
    <xf numFmtId="0" fontId="11" fillId="26" borderId="5" xfId="0" applyFont="1" applyFill="1" applyBorder="1"/>
    <xf numFmtId="3" fontId="17" fillId="0" borderId="5" xfId="0" applyNumberFormat="1" applyFont="1" applyBorder="1"/>
    <xf numFmtId="3" fontId="24" fillId="17" borderId="5" xfId="0" applyNumberFormat="1" applyFont="1" applyFill="1" applyBorder="1"/>
    <xf numFmtId="3" fontId="24" fillId="18" borderId="5" xfId="0" applyNumberFormat="1" applyFont="1" applyFill="1" applyBorder="1"/>
    <xf numFmtId="0" fontId="15" fillId="9" borderId="5" xfId="0" applyFont="1" applyFill="1" applyBorder="1"/>
    <xf numFmtId="3" fontId="16" fillId="21" borderId="5" xfId="0" applyNumberFormat="1" applyFont="1" applyFill="1" applyBorder="1"/>
    <xf numFmtId="0" fontId="15" fillId="0" borderId="5" xfId="0" applyFont="1" applyBorder="1"/>
    <xf numFmtId="3" fontId="23" fillId="22" borderId="5" xfId="0" applyNumberFormat="1" applyFont="1" applyFill="1" applyBorder="1"/>
    <xf numFmtId="3" fontId="23" fillId="16" borderId="5" xfId="0" applyNumberFormat="1" applyFont="1" applyFill="1" applyBorder="1"/>
    <xf numFmtId="3" fontId="18" fillId="10" borderId="5" xfId="0" applyNumberFormat="1" applyFont="1" applyFill="1" applyBorder="1"/>
    <xf numFmtId="9" fontId="0" fillId="30" borderId="2" xfId="0" applyNumberFormat="1" applyFill="1" applyBorder="1" applyAlignment="1">
      <alignment horizontal="center"/>
    </xf>
    <xf numFmtId="9" fontId="0" fillId="31" borderId="2" xfId="0" quotePrefix="1" applyNumberFormat="1" applyFill="1" applyBorder="1" applyAlignment="1">
      <alignment horizontal="center"/>
    </xf>
    <xf numFmtId="0" fontId="18" fillId="2" borderId="0" xfId="0" applyFont="1" applyFill="1"/>
    <xf numFmtId="0" fontId="19" fillId="0" borderId="0" xfId="0" applyFont="1"/>
    <xf numFmtId="0" fontId="18" fillId="7" borderId="0" xfId="0" applyFont="1" applyFill="1"/>
    <xf numFmtId="0" fontId="18" fillId="3" borderId="0" xfId="0" applyFont="1" applyFill="1"/>
    <xf numFmtId="0" fontId="10" fillId="0" borderId="0" xfId="0" applyFont="1"/>
    <xf numFmtId="0" fontId="0" fillId="0" borderId="0" xfId="0"/>
    <xf numFmtId="0" fontId="18" fillId="4" borderId="0" xfId="0" applyFont="1" applyFill="1"/>
    <xf numFmtId="164" fontId="19" fillId="0" borderId="0" xfId="0" applyNumberFormat="1" applyFont="1"/>
    <xf numFmtId="0" fontId="18" fillId="28" borderId="0" xfId="0" applyFont="1" applyFill="1"/>
    <xf numFmtId="0" fontId="19" fillId="29" borderId="0" xfId="0" applyFont="1" applyFill="1"/>
    <xf numFmtId="0" fontId="18" fillId="33" borderId="0" xfId="0" applyFont="1" applyFill="1"/>
    <xf numFmtId="0" fontId="19" fillId="20" borderId="0" xfId="0" applyFont="1" applyFill="1"/>
    <xf numFmtId="0" fontId="21" fillId="19" borderId="2" xfId="0" applyFont="1" applyFill="1" applyBorder="1" applyAlignment="1">
      <alignment horizontal="center" vertical="center"/>
    </xf>
    <xf numFmtId="0" fontId="21" fillId="19" borderId="3" xfId="0" applyFont="1" applyFill="1" applyBorder="1" applyAlignment="1">
      <alignment horizontal="center" vertical="center"/>
    </xf>
    <xf numFmtId="0" fontId="22" fillId="20" borderId="3" xfId="0" applyFont="1" applyFill="1" applyBorder="1" applyAlignment="1">
      <alignment horizontal="center" vertical="center"/>
    </xf>
    <xf numFmtId="0" fontId="22" fillId="20" borderId="4" xfId="0" applyFont="1" applyFill="1" applyBorder="1" applyAlignment="1">
      <alignment horizontal="center" vertical="center"/>
    </xf>
    <xf numFmtId="0" fontId="21" fillId="12" borderId="2" xfId="0" applyFont="1" applyFill="1" applyBorder="1" applyAlignment="1">
      <alignment horizontal="center" vertical="center"/>
    </xf>
    <xf numFmtId="0" fontId="21" fillId="12" borderId="3" xfId="0" applyFont="1" applyFill="1" applyBorder="1" applyAlignment="1">
      <alignment horizontal="center" vertical="center"/>
    </xf>
    <xf numFmtId="0" fontId="22" fillId="13" borderId="3" xfId="0" applyFont="1" applyFill="1" applyBorder="1" applyAlignment="1">
      <alignment horizontal="center" vertical="center"/>
    </xf>
    <xf numFmtId="0" fontId="22" fillId="13" borderId="4" xfId="0" applyFont="1" applyFill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4" fillId="25" borderId="0" xfId="0" applyFont="1" applyFill="1"/>
    <xf numFmtId="0" fontId="0" fillId="20" borderId="0" xfId="0" applyFill="1"/>
    <xf numFmtId="0" fontId="25" fillId="23" borderId="0" xfId="0" applyFont="1" applyFill="1"/>
    <xf numFmtId="0" fontId="0" fillId="24" borderId="0" xfId="0" applyFill="1"/>
    <xf numFmtId="0" fontId="1" fillId="0" borderId="0" xfId="0" applyFont="1"/>
    <xf numFmtId="0" fontId="5" fillId="0" borderId="0" xfId="0" applyFont="1"/>
    <xf numFmtId="0" fontId="21" fillId="12" borderId="7" xfId="0" applyFont="1" applyFill="1" applyBorder="1" applyAlignment="1">
      <alignment horizontal="center" vertical="center"/>
    </xf>
    <xf numFmtId="0" fontId="21" fillId="12" borderId="0" xfId="0" applyFont="1" applyFill="1" applyAlignment="1">
      <alignment horizontal="center" vertical="center"/>
    </xf>
    <xf numFmtId="0" fontId="21" fillId="19" borderId="5" xfId="0" applyFont="1" applyFill="1" applyBorder="1" applyAlignment="1">
      <alignment horizontal="center" vertical="center"/>
    </xf>
    <xf numFmtId="0" fontId="21" fillId="19" borderId="4" xfId="0" applyFont="1" applyFill="1" applyBorder="1" applyAlignment="1">
      <alignment horizontal="center" vertical="center"/>
    </xf>
    <xf numFmtId="0" fontId="32" fillId="32" borderId="0" xfId="0" applyFont="1" applyFill="1" applyAlignment="1">
      <alignment horizontal="center"/>
    </xf>
    <xf numFmtId="9" fontId="15" fillId="0" borderId="2" xfId="0" applyNumberFormat="1" applyFont="1" applyBorder="1" applyAlignment="1">
      <alignment horizontal="center"/>
    </xf>
    <xf numFmtId="0" fontId="11" fillId="0" borderId="2" xfId="0" applyFont="1" applyFill="1" applyBorder="1"/>
    <xf numFmtId="0" fontId="6" fillId="0" borderId="2" xfId="0" applyFont="1" applyFill="1" applyBorder="1"/>
    <xf numFmtId="9" fontId="6" fillId="15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11">
    <dxf>
      <fill>
        <patternFill patternType="solid">
          <fgColor rgb="FFFADBD8"/>
          <bgColor rgb="FFFADBD8"/>
        </patternFill>
      </fill>
    </dxf>
    <dxf>
      <fill>
        <patternFill patternType="solid">
          <fgColor rgb="FFFCF3CF"/>
          <bgColor rgb="FFFCF3CF"/>
        </patternFill>
      </fill>
    </dxf>
    <dxf>
      <fill>
        <patternFill patternType="solid">
          <fgColor rgb="FFD5F5E3"/>
          <bgColor rgb="FFD5F5E3"/>
        </patternFill>
      </fill>
    </dxf>
    <dxf>
      <fill>
        <patternFill patternType="solid">
          <fgColor rgb="FFFADBD8"/>
          <bgColor rgb="FFFADBD8"/>
        </patternFill>
      </fill>
    </dxf>
    <dxf>
      <fill>
        <patternFill patternType="solid">
          <fgColor rgb="FFFCF3CF"/>
          <bgColor rgb="FFFCF3CF"/>
        </patternFill>
      </fill>
    </dxf>
    <dxf>
      <fill>
        <patternFill patternType="solid">
          <fgColor rgb="FFD5F5E3"/>
          <bgColor rgb="FFD5F5E3"/>
        </patternFill>
      </fill>
    </dxf>
    <dxf>
      <fill>
        <patternFill patternType="solid">
          <fgColor rgb="FFFADBD8"/>
          <bgColor rgb="FFFADBD8"/>
        </patternFill>
      </fill>
    </dxf>
    <dxf>
      <fill>
        <patternFill patternType="solid">
          <fgColor rgb="FFFCF3CF"/>
          <bgColor rgb="FFFCF3CF"/>
        </patternFill>
      </fill>
    </dxf>
    <dxf>
      <fill>
        <patternFill patternType="solid">
          <fgColor rgb="FFD5F5E3"/>
          <bgColor rgb="FFD5F5E3"/>
        </patternFill>
      </fill>
    </dxf>
    <dxf>
      <fill>
        <patternFill patternType="solid">
          <fgColor rgb="FFFADBD8"/>
          <bgColor rgb="FFFADBD8"/>
        </patternFill>
      </fill>
    </dxf>
    <dxf>
      <fill>
        <patternFill patternType="solid">
          <fgColor rgb="FFD5F5E3"/>
          <bgColor rgb="FFD5F5E3"/>
        </patternFill>
      </fill>
    </dxf>
  </dxfs>
  <tableStyles count="0" defaultTableStyle="TableStyleMedium9" defaultPivotStyle="PivotStyleLight16"/>
  <colors>
    <mruColors>
      <color rgb="FFFFFFCC"/>
      <color rgb="FF0094C8"/>
      <color rgb="FFFF9999"/>
      <color rgb="FF00863D"/>
      <color rgb="FFFFCD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25"/>
  <sheetViews>
    <sheetView workbookViewId="0">
      <selection activeCell="C4" sqref="C4"/>
    </sheetView>
  </sheetViews>
  <sheetFormatPr baseColWidth="10" defaultColWidth="9.140625" defaultRowHeight="15" x14ac:dyDescent="0.25"/>
  <cols>
    <col min="1" max="1" width="22" customWidth="1"/>
    <col min="2" max="4" width="18" customWidth="1"/>
    <col min="5" max="5" width="12" customWidth="1"/>
    <col min="6" max="6" width="20" customWidth="1"/>
  </cols>
  <sheetData>
    <row r="1" spans="1:6" ht="21" x14ac:dyDescent="0.35">
      <c r="A1" s="1" t="s">
        <v>101</v>
      </c>
    </row>
    <row r="3" spans="1:6" x14ac:dyDescent="0.25">
      <c r="A3" s="2" t="s">
        <v>102</v>
      </c>
      <c r="B3" s="3" t="s">
        <v>103</v>
      </c>
      <c r="C3" s="4" t="s">
        <v>104</v>
      </c>
      <c r="D3" s="2" t="s">
        <v>105</v>
      </c>
      <c r="E3" s="2" t="s">
        <v>106</v>
      </c>
      <c r="F3" s="15" t="s">
        <v>107</v>
      </c>
    </row>
    <row r="4" spans="1:6" x14ac:dyDescent="0.25">
      <c r="A4" t="s">
        <v>108</v>
      </c>
      <c r="B4" t="s">
        <v>83</v>
      </c>
      <c r="C4" t="s">
        <v>84</v>
      </c>
      <c r="D4" t="s">
        <v>109</v>
      </c>
      <c r="E4" t="s">
        <v>110</v>
      </c>
      <c r="F4" t="s">
        <v>111</v>
      </c>
    </row>
    <row r="5" spans="1:6" x14ac:dyDescent="0.25">
      <c r="A5" t="s">
        <v>112</v>
      </c>
      <c r="B5" t="s">
        <v>85</v>
      </c>
      <c r="C5" t="s">
        <v>86</v>
      </c>
      <c r="D5" t="s">
        <v>113</v>
      </c>
      <c r="E5" t="s">
        <v>114</v>
      </c>
      <c r="F5" t="s">
        <v>115</v>
      </c>
    </row>
    <row r="6" spans="1:6" x14ac:dyDescent="0.25">
      <c r="A6" t="s">
        <v>116</v>
      </c>
      <c r="B6" t="s">
        <v>87</v>
      </c>
      <c r="C6" t="s">
        <v>88</v>
      </c>
      <c r="D6" t="s">
        <v>117</v>
      </c>
      <c r="E6" t="s">
        <v>118</v>
      </c>
      <c r="F6" t="s">
        <v>119</v>
      </c>
    </row>
    <row r="7" spans="1:6" x14ac:dyDescent="0.25">
      <c r="A7" t="s">
        <v>120</v>
      </c>
      <c r="B7" t="s">
        <v>89</v>
      </c>
      <c r="C7" t="s">
        <v>90</v>
      </c>
      <c r="D7" t="s">
        <v>121</v>
      </c>
      <c r="E7" t="s">
        <v>122</v>
      </c>
      <c r="F7" t="s">
        <v>123</v>
      </c>
    </row>
    <row r="8" spans="1:6" x14ac:dyDescent="0.25">
      <c r="A8" t="s">
        <v>124</v>
      </c>
      <c r="B8" t="s">
        <v>91</v>
      </c>
      <c r="C8" t="s">
        <v>92</v>
      </c>
      <c r="D8" t="s">
        <v>125</v>
      </c>
      <c r="F8" t="s">
        <v>126</v>
      </c>
    </row>
    <row r="9" spans="1:6" x14ac:dyDescent="0.25">
      <c r="A9" t="s">
        <v>127</v>
      </c>
      <c r="D9" t="s">
        <v>128</v>
      </c>
      <c r="F9" t="s">
        <v>129</v>
      </c>
    </row>
    <row r="10" spans="1:6" x14ac:dyDescent="0.25">
      <c r="A10" t="s">
        <v>130</v>
      </c>
      <c r="D10" t="s">
        <v>131</v>
      </c>
      <c r="F10" t="s">
        <v>132</v>
      </c>
    </row>
    <row r="11" spans="1:6" x14ac:dyDescent="0.25">
      <c r="F11" t="s">
        <v>133</v>
      </c>
    </row>
    <row r="12" spans="1:6" x14ac:dyDescent="0.25">
      <c r="F12" t="s">
        <v>134</v>
      </c>
    </row>
    <row r="13" spans="1:6" x14ac:dyDescent="0.25">
      <c r="F13" t="s">
        <v>83</v>
      </c>
    </row>
    <row r="14" spans="1:6" x14ac:dyDescent="0.25">
      <c r="F14" t="s">
        <v>85</v>
      </c>
    </row>
    <row r="15" spans="1:6" x14ac:dyDescent="0.25">
      <c r="F15" t="s">
        <v>87</v>
      </c>
    </row>
    <row r="16" spans="1:6" x14ac:dyDescent="0.25">
      <c r="F16" t="s">
        <v>89</v>
      </c>
    </row>
    <row r="17" spans="6:6" x14ac:dyDescent="0.25">
      <c r="F17" t="s">
        <v>91</v>
      </c>
    </row>
    <row r="18" spans="6:6" x14ac:dyDescent="0.25">
      <c r="F18" t="s">
        <v>84</v>
      </c>
    </row>
    <row r="19" spans="6:6" x14ac:dyDescent="0.25">
      <c r="F19" t="s">
        <v>86</v>
      </c>
    </row>
    <row r="20" spans="6:6" x14ac:dyDescent="0.25">
      <c r="F20" t="s">
        <v>88</v>
      </c>
    </row>
    <row r="21" spans="6:6" x14ac:dyDescent="0.25">
      <c r="F21" t="s">
        <v>90</v>
      </c>
    </row>
    <row r="22" spans="6:6" x14ac:dyDescent="0.25">
      <c r="F22" t="s">
        <v>92</v>
      </c>
    </row>
    <row r="23" spans="6:6" x14ac:dyDescent="0.25">
      <c r="F23" t="s">
        <v>135</v>
      </c>
    </row>
    <row r="24" spans="6:6" x14ac:dyDescent="0.25">
      <c r="F24" t="s">
        <v>136</v>
      </c>
    </row>
    <row r="25" spans="6:6" x14ac:dyDescent="0.25">
      <c r="F25" t="s">
        <v>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workbookViewId="0">
      <selection activeCell="N15" sqref="N15"/>
    </sheetView>
  </sheetViews>
  <sheetFormatPr baseColWidth="10" defaultColWidth="9.140625" defaultRowHeight="15" x14ac:dyDescent="0.25"/>
  <cols>
    <col min="1" max="1" width="30.28515625" customWidth="1"/>
    <col min="2" max="2" width="14" customWidth="1"/>
    <col min="3" max="3" width="17.140625" customWidth="1"/>
    <col min="4" max="4" width="18.85546875" bestFit="1" customWidth="1"/>
    <col min="5" max="5" width="3" customWidth="1"/>
    <col min="6" max="6" width="36.7109375" bestFit="1" customWidth="1"/>
    <col min="7" max="7" width="17.42578125" customWidth="1"/>
    <col min="8" max="8" width="17.5703125" customWidth="1"/>
    <col min="9" max="9" width="15" customWidth="1"/>
  </cols>
  <sheetData>
    <row r="1" spans="1:9" ht="23.25" x14ac:dyDescent="0.35">
      <c r="A1" s="105" t="s">
        <v>0</v>
      </c>
      <c r="B1" s="106"/>
      <c r="C1" s="106"/>
      <c r="D1" s="106"/>
      <c r="E1" s="106"/>
      <c r="F1" s="106"/>
      <c r="G1" s="106"/>
      <c r="H1" s="106"/>
      <c r="I1" s="106"/>
    </row>
    <row r="3" spans="1:9" ht="18.75" x14ac:dyDescent="0.3">
      <c r="A3" s="37" t="s">
        <v>1</v>
      </c>
      <c r="B3" s="71" t="s">
        <v>2</v>
      </c>
      <c r="C3" s="37"/>
      <c r="D3" s="37" t="s">
        <v>3</v>
      </c>
      <c r="E3" s="108"/>
      <c r="F3" s="102"/>
      <c r="G3" s="37"/>
      <c r="H3" s="37"/>
      <c r="I3" s="37"/>
    </row>
    <row r="4" spans="1:9" ht="18.75" x14ac:dyDescent="0.3">
      <c r="A4" s="37"/>
      <c r="B4" s="71"/>
      <c r="C4" s="37"/>
      <c r="D4" s="37"/>
      <c r="E4" s="72"/>
      <c r="F4" s="37"/>
      <c r="G4" s="37"/>
      <c r="H4" s="37"/>
      <c r="I4" s="37"/>
    </row>
    <row r="5" spans="1:9" ht="18.75" x14ac:dyDescent="0.3">
      <c r="A5" s="109" t="s">
        <v>279</v>
      </c>
      <c r="B5" s="110"/>
      <c r="C5" s="110"/>
      <c r="D5" s="110"/>
      <c r="E5" s="72"/>
      <c r="F5" s="109" t="s">
        <v>305</v>
      </c>
      <c r="G5" s="110"/>
      <c r="H5" s="110"/>
      <c r="I5" s="110"/>
    </row>
    <row r="6" spans="1:9" ht="18.75" x14ac:dyDescent="0.3">
      <c r="A6" s="47" t="s">
        <v>5</v>
      </c>
      <c r="B6" s="47" t="s">
        <v>264</v>
      </c>
      <c r="C6" s="75" t="s">
        <v>265</v>
      </c>
      <c r="D6" s="75" t="s">
        <v>273</v>
      </c>
      <c r="E6" s="72"/>
      <c r="F6" s="47" t="s">
        <v>5</v>
      </c>
      <c r="G6" s="47" t="s">
        <v>264</v>
      </c>
      <c r="H6" s="75" t="s">
        <v>265</v>
      </c>
      <c r="I6" s="75" t="s">
        <v>256</v>
      </c>
    </row>
    <row r="7" spans="1:9" ht="18.75" x14ac:dyDescent="0.3">
      <c r="A7" s="37" t="s">
        <v>271</v>
      </c>
      <c r="B7" s="37"/>
      <c r="C7" s="37"/>
      <c r="D7" s="37"/>
      <c r="E7" s="72"/>
      <c r="F7" s="27" t="s">
        <v>142</v>
      </c>
      <c r="G7" s="37"/>
      <c r="H7" s="37"/>
      <c r="I7" s="37"/>
    </row>
    <row r="8" spans="1:9" ht="18.75" x14ac:dyDescent="0.3">
      <c r="A8" s="37" t="s">
        <v>274</v>
      </c>
      <c r="B8" s="37"/>
      <c r="C8" s="37"/>
      <c r="D8" s="37"/>
      <c r="E8" s="72"/>
      <c r="F8" s="27" t="s">
        <v>147</v>
      </c>
      <c r="G8" s="37"/>
      <c r="H8" s="37"/>
      <c r="I8" s="37"/>
    </row>
    <row r="9" spans="1:9" ht="18.75" x14ac:dyDescent="0.3">
      <c r="A9" s="37" t="s">
        <v>275</v>
      </c>
      <c r="B9" s="37"/>
      <c r="C9" s="37"/>
      <c r="D9" s="37"/>
      <c r="E9" s="72"/>
      <c r="F9" s="27" t="s">
        <v>151</v>
      </c>
      <c r="G9" s="37"/>
      <c r="H9" s="37"/>
      <c r="I9" s="37"/>
    </row>
    <row r="10" spans="1:9" ht="18.75" x14ac:dyDescent="0.3">
      <c r="A10" s="37" t="s">
        <v>276</v>
      </c>
      <c r="B10" s="37"/>
      <c r="C10" s="37"/>
      <c r="D10" s="37"/>
      <c r="E10" s="72"/>
      <c r="F10" s="27" t="s">
        <v>181</v>
      </c>
      <c r="G10" s="37"/>
      <c r="H10" s="37"/>
      <c r="I10" s="37"/>
    </row>
    <row r="11" spans="1:9" ht="18.75" x14ac:dyDescent="0.3">
      <c r="A11" s="37" t="s">
        <v>277</v>
      </c>
      <c r="B11" s="37"/>
      <c r="C11" s="37"/>
      <c r="D11" s="37"/>
      <c r="E11" s="72"/>
      <c r="F11" s="27" t="s">
        <v>156</v>
      </c>
      <c r="G11" s="37"/>
      <c r="H11" s="37"/>
      <c r="I11" s="37"/>
    </row>
    <row r="12" spans="1:9" ht="18.75" x14ac:dyDescent="0.3">
      <c r="A12" s="37" t="s">
        <v>278</v>
      </c>
      <c r="B12" s="37"/>
      <c r="C12" s="37"/>
      <c r="D12" s="37"/>
      <c r="E12" s="72"/>
      <c r="F12" s="27" t="s">
        <v>163</v>
      </c>
    </row>
    <row r="13" spans="1:9" ht="18.75" x14ac:dyDescent="0.3">
      <c r="A13" s="37" t="s">
        <v>284</v>
      </c>
      <c r="B13" s="37"/>
      <c r="C13" s="37"/>
      <c r="D13" s="37"/>
      <c r="E13" s="72"/>
      <c r="F13" s="68" t="s">
        <v>249</v>
      </c>
      <c r="G13" s="37"/>
      <c r="H13" s="37"/>
      <c r="I13" s="37"/>
    </row>
    <row r="14" spans="1:9" ht="18.75" x14ac:dyDescent="0.3">
      <c r="A14" s="101" t="s">
        <v>280</v>
      </c>
      <c r="B14" s="102"/>
      <c r="C14" s="102"/>
      <c r="D14" s="102"/>
      <c r="E14" s="72"/>
      <c r="F14" s="37"/>
      <c r="G14" s="37"/>
      <c r="H14" s="37"/>
      <c r="I14" s="37"/>
    </row>
    <row r="15" spans="1:9" ht="18.75" x14ac:dyDescent="0.3">
      <c r="A15" s="47" t="s">
        <v>5</v>
      </c>
      <c r="B15" s="47"/>
      <c r="C15" s="75" t="s">
        <v>261</v>
      </c>
      <c r="D15" s="75" t="s">
        <v>8</v>
      </c>
      <c r="E15" s="72"/>
      <c r="F15" s="37"/>
      <c r="G15" s="37"/>
      <c r="H15" s="37"/>
      <c r="I15" s="37"/>
    </row>
    <row r="16" spans="1:9" ht="18.75" x14ac:dyDescent="0.3">
      <c r="A16" s="37" t="s">
        <v>272</v>
      </c>
      <c r="B16" s="37"/>
      <c r="C16" s="37"/>
      <c r="D16" s="37"/>
      <c r="E16" s="72"/>
      <c r="F16" s="111" t="s">
        <v>304</v>
      </c>
      <c r="G16" s="112"/>
      <c r="H16" s="112"/>
      <c r="I16" s="112"/>
    </row>
    <row r="17" spans="1:9" ht="18.75" x14ac:dyDescent="0.3">
      <c r="A17" s="37" t="s">
        <v>285</v>
      </c>
      <c r="B17" s="37"/>
      <c r="C17" s="37"/>
      <c r="D17" s="37"/>
      <c r="E17" s="72"/>
      <c r="F17" s="37"/>
      <c r="G17" s="37"/>
      <c r="H17" s="37"/>
      <c r="I17" s="37"/>
    </row>
    <row r="18" spans="1:9" ht="18.75" x14ac:dyDescent="0.3">
      <c r="A18" s="37" t="s">
        <v>281</v>
      </c>
      <c r="B18" s="37"/>
      <c r="C18" s="37"/>
      <c r="D18" s="37"/>
      <c r="E18" s="72"/>
      <c r="F18" s="37"/>
      <c r="G18" s="37"/>
      <c r="H18" s="37"/>
      <c r="I18" s="37"/>
    </row>
    <row r="19" spans="1:9" ht="18.75" x14ac:dyDescent="0.3">
      <c r="A19" s="37" t="s">
        <v>282</v>
      </c>
      <c r="B19" s="37"/>
      <c r="C19" s="37"/>
      <c r="D19" s="37"/>
      <c r="E19" s="72"/>
      <c r="F19" s="37"/>
      <c r="G19" s="37"/>
      <c r="H19" s="37"/>
      <c r="I19" s="37"/>
    </row>
    <row r="20" spans="1:9" ht="18.75" x14ac:dyDescent="0.3">
      <c r="A20" s="37" t="s">
        <v>283</v>
      </c>
      <c r="B20" s="37"/>
      <c r="C20" s="37"/>
      <c r="D20" s="37"/>
      <c r="E20" s="37"/>
      <c r="F20" s="37"/>
      <c r="G20" s="37"/>
      <c r="H20" s="37"/>
      <c r="I20" s="37"/>
    </row>
    <row r="21" spans="1:9" ht="18.75" x14ac:dyDescent="0.3">
      <c r="A21" s="101" t="s">
        <v>270</v>
      </c>
      <c r="B21" s="102"/>
      <c r="C21" s="102"/>
      <c r="D21" s="102"/>
      <c r="E21" s="37"/>
      <c r="F21" s="107" t="s">
        <v>4</v>
      </c>
      <c r="G21" s="102"/>
      <c r="H21" s="102"/>
      <c r="I21" s="102"/>
    </row>
    <row r="22" spans="1:9" ht="18.75" x14ac:dyDescent="0.3">
      <c r="A22" s="47" t="s">
        <v>5</v>
      </c>
      <c r="B22" s="47" t="s">
        <v>264</v>
      </c>
      <c r="C22" s="75" t="s">
        <v>265</v>
      </c>
      <c r="D22" s="75" t="s">
        <v>7</v>
      </c>
      <c r="E22" s="37"/>
      <c r="F22" s="47" t="s">
        <v>5</v>
      </c>
      <c r="G22" s="47" t="s">
        <v>7</v>
      </c>
      <c r="H22" s="47" t="s">
        <v>8</v>
      </c>
      <c r="I22" s="47" t="s">
        <v>6</v>
      </c>
    </row>
    <row r="23" spans="1:9" ht="18.75" x14ac:dyDescent="0.3">
      <c r="A23" s="48" t="s">
        <v>263</v>
      </c>
      <c r="B23" s="77">
        <v>0.89</v>
      </c>
      <c r="C23" s="48"/>
      <c r="D23" s="48"/>
      <c r="E23" s="37"/>
      <c r="F23" s="48" t="s">
        <v>9</v>
      </c>
      <c r="G23" s="49">
        <f>B23</f>
        <v>0.89</v>
      </c>
      <c r="H23" s="49">
        <f>G23</f>
        <v>0.89</v>
      </c>
      <c r="I23" s="48"/>
    </row>
    <row r="24" spans="1:9" ht="18.75" x14ac:dyDescent="0.3">
      <c r="A24" s="48" t="s">
        <v>266</v>
      </c>
      <c r="B24" s="77">
        <v>7.0000000000000007E-2</v>
      </c>
      <c r="C24" s="48"/>
      <c r="D24" s="48"/>
      <c r="E24" s="37"/>
      <c r="F24" s="48" t="s">
        <v>10</v>
      </c>
      <c r="G24" s="49" t="e">
        <f ca="1">SUMPRODUCT((INDIRECT("'"&amp;$B$3&amp;"'!B11:B24")&lt;DAY(TODAY()))*(INDIRECT("'"&amp;$B$3&amp;"'!C11:C24")="Pendiente")*(INDIRECT("'"&amp;$B$3&amp;"'!D11:D24")))+SUMPRODUCT((INDIRECT("'"&amp;$B$3&amp;"'!G11:G25")&lt;DAY(TODAY()))*(INDIRECT("'"&amp;$B$3&amp;"'!H11:H25")="Pendiente")*(INDIRECT("'"&amp;$B$3&amp;"'!I11:I25")))</f>
        <v>#REF!</v>
      </c>
      <c r="H24" s="49" t="e">
        <f ca="1">H23-G24</f>
        <v>#REF!</v>
      </c>
      <c r="I24" s="48" t="e">
        <f ca="1">IF(G24=0,"OK",IF(H24&gt;=0,"PAGAR","DEUDA"))</f>
        <v>#REF!</v>
      </c>
    </row>
    <row r="25" spans="1:9" ht="18.75" x14ac:dyDescent="0.3">
      <c r="A25" s="37" t="s">
        <v>267</v>
      </c>
      <c r="B25" s="79" t="s">
        <v>269</v>
      </c>
      <c r="C25" s="37"/>
      <c r="D25" s="37"/>
      <c r="E25" s="37"/>
      <c r="F25" s="48" t="s">
        <v>11</v>
      </c>
      <c r="G25" s="49" t="e">
        <f ca="1">SUMPRODUCT((INDIRECT("'"&amp;$B$3&amp;"'!B11:B24")&gt;=DAY(TODAY()))*(INDIRECT("'"&amp;$B$3&amp;"'!B11:B24")&lt;=DAY(TODAY())+7)*(INDIRECT("'"&amp;$B$3&amp;"'!C11:C24")="Pendiente")*(INDIRECT("'"&amp;$B$3&amp;"'!D11:D24")))+SUMPRODUCT((INDIRECT("'"&amp;$B$3&amp;"'!G11:G25")&gt;=DAY(TODAY()))*(INDIRECT("'"&amp;$B$3&amp;"'!G11:G25")&lt;=DAY(TODAY())+7)*(INDIRECT("'"&amp;$B$3&amp;"'!H11:H25")="Pendiente")*(INDIRECT("'"&amp;$B$3&amp;"'!I11:I25")))</f>
        <v>#REF!</v>
      </c>
      <c r="H25" s="49" t="e">
        <f ca="1">H24-G25</f>
        <v>#REF!</v>
      </c>
      <c r="I25" s="48" t="e">
        <f ca="1">IF(H25&gt;=0,"ALCANZA","FALTA")</f>
        <v>#REF!</v>
      </c>
    </row>
    <row r="26" spans="1:9" ht="18.75" x14ac:dyDescent="0.3">
      <c r="A26" s="37" t="s">
        <v>268</v>
      </c>
      <c r="B26" s="79" t="s">
        <v>269</v>
      </c>
      <c r="C26" s="37"/>
      <c r="D26" s="37"/>
      <c r="E26" s="37"/>
      <c r="F26" s="48" t="s">
        <v>12</v>
      </c>
      <c r="G26" s="49" t="e">
        <f ca="1">SUMPRODUCT((INDIRECT("'"&amp;$B$3&amp;"'!B11:B24")&gt;DAY(TODAY())+7)*(INDIRECT("'"&amp;$B$3&amp;"'!B11:B24")&lt;=DAY(TODAY())+14)*(INDIRECT("'"&amp;$B$3&amp;"'!C11:C24")="Pendiente")*(INDIRECT("'"&amp;$B$3&amp;"'!D11:D24")))+SUMPRODUCT((INDIRECT("'"&amp;$B$3&amp;"'!G11:G25")&gt;DAY(TODAY())+7)*(INDIRECT("'"&amp;$B$3&amp;"'!G11:G25")&lt;=DAY(TODAY())+14)*(INDIRECT("'"&amp;$B$3&amp;"'!H11:H25")="Pendiente")*(INDIRECT("'"&amp;$B$3&amp;"'!I11:I25")))</f>
        <v>#REF!</v>
      </c>
      <c r="H26" s="49" t="e">
        <f ca="1">H25-G26</f>
        <v>#REF!</v>
      </c>
      <c r="I26" s="48" t="e">
        <f ca="1">IF(H26&gt;=0,"ALCANZA","FALTA")</f>
        <v>#REF!</v>
      </c>
    </row>
    <row r="27" spans="1:9" ht="18.75" x14ac:dyDescent="0.3">
      <c r="A27" s="37" t="s">
        <v>255</v>
      </c>
      <c r="B27" s="79" t="s">
        <v>269</v>
      </c>
      <c r="C27" s="37"/>
      <c r="D27" s="37"/>
      <c r="E27" s="37"/>
      <c r="F27" s="48"/>
      <c r="G27" s="49"/>
      <c r="H27" s="49"/>
      <c r="I27" s="48"/>
    </row>
    <row r="28" spans="1:9" ht="18.75" x14ac:dyDescent="0.3">
      <c r="A28" s="37"/>
      <c r="B28" s="78"/>
      <c r="C28" s="37"/>
      <c r="D28" s="37"/>
      <c r="E28" s="37"/>
      <c r="F28" s="73" t="s">
        <v>13</v>
      </c>
      <c r="G28" s="74" t="e">
        <f ca="1">H26</f>
        <v>#REF!</v>
      </c>
      <c r="H28" s="48"/>
      <c r="I28" s="73" t="e">
        <f ca="1">IF(G28&gt;=0,"OK","DÉFICIT")</f>
        <v>#REF!</v>
      </c>
    </row>
    <row r="29" spans="1:9" ht="18.75" x14ac:dyDescent="0.3">
      <c r="A29" s="103" t="s">
        <v>14</v>
      </c>
      <c r="B29" s="102"/>
      <c r="C29" s="102"/>
      <c r="D29" s="102"/>
      <c r="E29" s="37"/>
      <c r="F29" s="104" t="s">
        <v>15</v>
      </c>
      <c r="G29" s="102"/>
      <c r="H29" s="102"/>
      <c r="I29" s="102"/>
    </row>
    <row r="30" spans="1:9" ht="18.75" x14ac:dyDescent="0.3">
      <c r="A30" s="47" t="s">
        <v>5</v>
      </c>
      <c r="B30" s="75" t="s">
        <v>16</v>
      </c>
      <c r="C30" s="75" t="s">
        <v>262</v>
      </c>
      <c r="D30" s="75" t="s">
        <v>18</v>
      </c>
      <c r="E30" s="37"/>
      <c r="F30" s="47" t="s">
        <v>5</v>
      </c>
      <c r="G30" s="47" t="s">
        <v>261</v>
      </c>
      <c r="H30" s="75" t="s">
        <v>8</v>
      </c>
      <c r="I30" s="75" t="s">
        <v>6</v>
      </c>
    </row>
    <row r="31" spans="1:9" ht="18.75" x14ac:dyDescent="0.3">
      <c r="A31" s="48" t="s">
        <v>19</v>
      </c>
      <c r="B31" s="49">
        <f ca="1">IFERROR(INDIRECT("'"&amp;$B$3&amp;"'!D7"),0)</f>
        <v>0</v>
      </c>
      <c r="C31" s="49">
        <f ca="1">IFERROR(INDIRECT("'"&amp;$B$3&amp;"'!I7"),0)</f>
        <v>0</v>
      </c>
      <c r="D31" s="49">
        <f ca="1">B31+C31</f>
        <v>0</v>
      </c>
      <c r="E31" s="37"/>
      <c r="F31" s="48" t="s">
        <v>20</v>
      </c>
      <c r="G31" s="49">
        <f ca="1">IFERROR(SUMIF(INDIRECT("'Ing-Egr "&amp;$B$3&amp;"'!B:B"),"Préstamo NT → Familia",INDIRECT("'Ing-Egr "&amp;$B$3&amp;"'!F:F")),0)</f>
        <v>0</v>
      </c>
      <c r="H31" s="49">
        <f>IFERROR(SUMIF(CARGA!B:B,"Préstamo NT → Familia",CARGA!F:F)+SUMIF(#REF!,"Préstamo NT → Familia",#REF!)+SUMIF(#REF!,"Préstamo NT → Familia",#REF!)+SUMIF(#REF!,"Préstamo NT → Familia",#REF!)+SUMIF(#REF!,"Préstamo NT → Familia",#REF!)+SUMIF(#REF!,"Préstamo NT → Familia",#REF!)+SUMIF(#REF!,"Préstamo NT → Familia",#REF!)+SUMIF(#REF!,"Préstamo NT → Familia",#REF!)+SUMIF(#REF!,"Préstamo NT → Familia",#REF!)+SUMIF(#REF!,"Préstamo NT → Familia",#REF!)+SUMIF(#REF!,"Préstamo NT → Familia",#REF!)+SUMIF(#REF!,"Préstamo NT → Familia",#REF!),0)</f>
        <v>0</v>
      </c>
      <c r="I31" s="48"/>
    </row>
    <row r="32" spans="1:9" ht="18.75" x14ac:dyDescent="0.3">
      <c r="A32" s="48" t="s">
        <v>21</v>
      </c>
      <c r="B32" s="49">
        <f ca="1">IFERROR(INDIRECT("'"&amp;$B$3&amp;"'!D25")+INDIRECT("'"&amp;$B$3&amp;"'!D35"),0)</f>
        <v>0</v>
      </c>
      <c r="C32" s="49">
        <f ca="1">IFERROR(INDIRECT("'"&amp;$B$3&amp;"'!I26")+INDIRECT("'"&amp;$B$3&amp;"'!I35"),0)</f>
        <v>0</v>
      </c>
      <c r="D32" s="49">
        <f ca="1">B32+C32</f>
        <v>0</v>
      </c>
      <c r="E32" s="37"/>
      <c r="F32" s="48" t="s">
        <v>22</v>
      </c>
      <c r="G32" s="49">
        <f ca="1">IFERROR(SUMIF(INDIRECT("'Ing-Egr "&amp;$B$3&amp;"'!B:B"),"Devolución Familia → NT",INDIRECT("'Ing-Egr "&amp;$B$3&amp;"'!E:E")),0)</f>
        <v>0</v>
      </c>
      <c r="H32" s="49">
        <f>IFERROR(SUMIF(CARGA!B:B,"Devolución Familia → NT",CARGA!E:E)+SUMIF(#REF!,"Devolución Familia → NT",#REF!)+SUMIF(#REF!,"Devolución Familia → NT",#REF!)+SUMIF(#REF!,"Devolución Familia → NT",#REF!)+SUMIF(#REF!,"Devolución Familia → NT",#REF!)+SUMIF(#REF!,"Devolución Familia → NT",#REF!)+SUMIF(#REF!,"Devolución Familia → NT",#REF!)+SUMIF(#REF!,"Devolución Familia → NT",#REF!)+SUMIF(#REF!,"Devolución Familia → NT",#REF!)+SUMIF(#REF!,"Devolución Familia → NT",#REF!)+SUMIF(#REF!,"Devolución Familia → NT",#REF!)+SUMIF(#REF!,"Devolución Familia → NT",#REF!),0)</f>
        <v>0</v>
      </c>
      <c r="I32" s="48"/>
    </row>
    <row r="33" spans="1:9" ht="18.75" x14ac:dyDescent="0.3">
      <c r="A33" s="73" t="s">
        <v>23</v>
      </c>
      <c r="B33" s="74">
        <f ca="1">B31-B32</f>
        <v>0</v>
      </c>
      <c r="C33" s="74">
        <f ca="1">C31-C32</f>
        <v>0</v>
      </c>
      <c r="D33" s="74">
        <f ca="1">D31-D32</f>
        <v>0</v>
      </c>
      <c r="E33" s="37"/>
      <c r="F33" s="48" t="s">
        <v>259</v>
      </c>
    </row>
    <row r="34" spans="1:9" ht="18.75" x14ac:dyDescent="0.3">
      <c r="A34" s="37"/>
      <c r="B34" s="37"/>
      <c r="C34" s="37"/>
      <c r="D34" s="37"/>
      <c r="E34" s="37"/>
      <c r="F34" s="48" t="s">
        <v>260</v>
      </c>
      <c r="G34" s="37"/>
      <c r="H34" s="37"/>
      <c r="I34" s="37"/>
    </row>
    <row r="35" spans="1:9" ht="18.75" x14ac:dyDescent="0.3">
      <c r="A35" s="101" t="s">
        <v>25</v>
      </c>
      <c r="B35" s="102"/>
      <c r="C35" s="102"/>
      <c r="D35" s="102"/>
      <c r="E35" s="37"/>
      <c r="F35" s="73" t="s">
        <v>24</v>
      </c>
      <c r="G35" s="74">
        <f ca="1">G31-G32</f>
        <v>0</v>
      </c>
      <c r="H35" s="74">
        <f>H31-H32</f>
        <v>0</v>
      </c>
      <c r="I35" s="76" t="str">
        <f>IF(H35&gt;0,"NT SUBSIDIA",IF(H35&lt;0,"FAM SUBSIDIA","OK"))</f>
        <v>OK</v>
      </c>
    </row>
    <row r="36" spans="1:9" ht="18.75" x14ac:dyDescent="0.3">
      <c r="A36" s="47" t="s">
        <v>5</v>
      </c>
      <c r="B36" s="47" t="s">
        <v>16</v>
      </c>
      <c r="C36" s="47" t="s">
        <v>17</v>
      </c>
      <c r="D36" s="47" t="s">
        <v>18</v>
      </c>
      <c r="E36" s="37"/>
      <c r="F36" s="37"/>
      <c r="G36" s="37"/>
      <c r="H36" s="37"/>
      <c r="I36" s="37"/>
    </row>
    <row r="37" spans="1:9" ht="18.75" x14ac:dyDescent="0.3">
      <c r="A37" s="48" t="s">
        <v>26</v>
      </c>
      <c r="B37" s="49">
        <f ca="1">IFERROR(INDIRECT("'"&amp;$B$3&amp;"'!D26"),0)</f>
        <v>0</v>
      </c>
      <c r="C37" s="49">
        <f ca="1">IFERROR(INDIRECT("'"&amp;$B$3&amp;"'!I27"),0)</f>
        <v>0</v>
      </c>
      <c r="D37" s="74">
        <f ca="1">B37+C37</f>
        <v>0</v>
      </c>
      <c r="E37" s="37"/>
      <c r="F37" s="37"/>
      <c r="G37" s="37"/>
      <c r="H37" s="37"/>
      <c r="I37" s="37"/>
    </row>
  </sheetData>
  <mergeCells count="11">
    <mergeCell ref="A21:D21"/>
    <mergeCell ref="A35:D35"/>
    <mergeCell ref="A29:D29"/>
    <mergeCell ref="F29:I29"/>
    <mergeCell ref="A1:I1"/>
    <mergeCell ref="F21:I21"/>
    <mergeCell ref="E3:F3"/>
    <mergeCell ref="A5:D5"/>
    <mergeCell ref="A14:D14"/>
    <mergeCell ref="F5:I5"/>
    <mergeCell ref="F16:I16"/>
  </mergeCells>
  <phoneticPr fontId="30" type="noConversion"/>
  <conditionalFormatting sqref="B33:D33">
    <cfRule type="expression" dxfId="10" priority="22">
      <formula>B33&gt;=0</formula>
    </cfRule>
    <cfRule type="expression" dxfId="9" priority="23">
      <formula>B33&lt;0</formula>
    </cfRule>
  </conditionalFormatting>
  <conditionalFormatting sqref="D23:D24">
    <cfRule type="expression" dxfId="8" priority="1">
      <formula>OR(D23="OK",D23="ALCANZA")</formula>
    </cfRule>
    <cfRule type="expression" dxfId="7" priority="2">
      <formula>OR(D23="ALERTA",D23="PAGAR",D23="FAM SUBSIDIA")</formula>
    </cfRule>
    <cfRule type="expression" dxfId="6" priority="3">
      <formula>OR(D23="CRÍTICO",D23="DEUDA",D23="FALTA",D23="DÉFICIT",D23="NT SUBSIDIA")</formula>
    </cfRule>
  </conditionalFormatting>
  <conditionalFormatting sqref="I24:I28">
    <cfRule type="expression" dxfId="5" priority="7">
      <formula>OR(I24="OK",I24="ALCANZA")</formula>
    </cfRule>
    <cfRule type="expression" dxfId="4" priority="8">
      <formula>OR(I24="ALERTA",I24="PAGAR",I24="FAM SUBSIDIA")</formula>
    </cfRule>
    <cfRule type="expression" dxfId="3" priority="9">
      <formula>OR(I24="CRÍTICO",I24="DEUDA",I24="FALTA",I24="DÉFICIT",I24="NT SUBSIDIA")</formula>
    </cfRule>
  </conditionalFormatting>
  <conditionalFormatting sqref="I35">
    <cfRule type="expression" dxfId="2" priority="19">
      <formula>OR(I35="OK",I35="ALCANZA")</formula>
    </cfRule>
    <cfRule type="expression" dxfId="1" priority="20">
      <formula>OR(I35="ALERTA",I35="PAGAR",I35="FAM SUBSIDIA")</formula>
    </cfRule>
    <cfRule type="expression" dxfId="0" priority="21">
      <formula>OR(I35="CRÍTICO",I35="DEUDA",I35="FALTA",I35="DÉFICIT",I35="NT SUBSIDIA")</formula>
    </cfRule>
  </conditionalFormatting>
  <dataValidations count="1">
    <dataValidation type="list" sqref="B3:B4" xr:uid="{00000000-0002-0000-0000-000000000000}">
      <formula1>"Enero 2026,Febrero 2026,Marzo 2026,Abril 2026,Mayo 2026,Junio 2026,Julio 2026,Agosto 2026,Septiembre 2026,Octubre 2026,Noviembre 2026,Diciembre 2026"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93"/>
  <sheetViews>
    <sheetView tabSelected="1" zoomScale="70" zoomScaleNormal="70" workbookViewId="0">
      <selection activeCell="B175" sqref="B175:B179"/>
    </sheetView>
  </sheetViews>
  <sheetFormatPr baseColWidth="10" defaultColWidth="9.140625" defaultRowHeight="15" x14ac:dyDescent="0.25"/>
  <cols>
    <col min="1" max="1" width="48.7109375" bestFit="1" customWidth="1"/>
    <col min="2" max="2" width="11.42578125" style="58" customWidth="1"/>
    <col min="3" max="3" width="15.140625" bestFit="1" customWidth="1"/>
    <col min="4" max="14" width="12" customWidth="1"/>
    <col min="15" max="15" width="15" bestFit="1" customWidth="1"/>
  </cols>
  <sheetData>
    <row r="1" spans="1:15" ht="21" x14ac:dyDescent="0.35">
      <c r="A1" s="121" t="s">
        <v>138</v>
      </c>
      <c r="B1" s="121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s="122" t="s">
        <v>139</v>
      </c>
      <c r="B2" s="122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4" spans="1:15" ht="25.5" customHeight="1" x14ac:dyDescent="0.25">
      <c r="A4" s="117" t="s">
        <v>141</v>
      </c>
      <c r="B4" s="118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20"/>
    </row>
    <row r="5" spans="1:15" ht="17.25" customHeight="1" x14ac:dyDescent="0.25">
      <c r="A5" s="25" t="s">
        <v>44</v>
      </c>
      <c r="B5" s="25" t="s">
        <v>241</v>
      </c>
      <c r="C5" s="25" t="s">
        <v>28</v>
      </c>
      <c r="D5" s="25" t="s">
        <v>29</v>
      </c>
      <c r="E5" s="25" t="s">
        <v>30</v>
      </c>
      <c r="F5" s="25" t="s">
        <v>31</v>
      </c>
      <c r="G5" s="25" t="s">
        <v>32</v>
      </c>
      <c r="H5" s="25" t="s">
        <v>33</v>
      </c>
      <c r="I5" s="25" t="s">
        <v>34</v>
      </c>
      <c r="J5" s="25" t="s">
        <v>35</v>
      </c>
      <c r="K5" s="25" t="s">
        <v>36</v>
      </c>
      <c r="L5" s="25" t="s">
        <v>37</v>
      </c>
      <c r="M5" s="25" t="s">
        <v>38</v>
      </c>
      <c r="N5" s="25" t="s">
        <v>39</v>
      </c>
      <c r="O5" s="25" t="s">
        <v>140</v>
      </c>
    </row>
    <row r="6" spans="1:15" x14ac:dyDescent="0.25">
      <c r="A6" s="27" t="s">
        <v>142</v>
      </c>
      <c r="B6" s="52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spans="1:15" x14ac:dyDescent="0.25">
      <c r="A7" s="18" t="s">
        <v>143</v>
      </c>
      <c r="B7" s="51"/>
      <c r="C7" s="19">
        <v>8500000</v>
      </c>
      <c r="D7" s="19">
        <v>0</v>
      </c>
      <c r="E7" s="19">
        <v>0</v>
      </c>
      <c r="F7" s="19">
        <v>0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20">
        <f t="shared" ref="O7:O18" si="0">SUM(C7:N7)</f>
        <v>8500000</v>
      </c>
    </row>
    <row r="8" spans="1:15" x14ac:dyDescent="0.25">
      <c r="A8" s="18" t="s">
        <v>198</v>
      </c>
      <c r="B8" s="51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20"/>
    </row>
    <row r="9" spans="1:15" x14ac:dyDescent="0.25">
      <c r="A9" s="18" t="s">
        <v>144</v>
      </c>
      <c r="B9" s="51"/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20">
        <f t="shared" si="0"/>
        <v>0</v>
      </c>
    </row>
    <row r="10" spans="1:15" x14ac:dyDescent="0.25">
      <c r="A10" s="18" t="s">
        <v>244</v>
      </c>
      <c r="B10" s="51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20"/>
    </row>
    <row r="11" spans="1:15" x14ac:dyDescent="0.25">
      <c r="A11" s="18" t="s">
        <v>243</v>
      </c>
      <c r="B11" s="51"/>
      <c r="C11" s="19">
        <v>0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20">
        <f t="shared" si="0"/>
        <v>0</v>
      </c>
    </row>
    <row r="12" spans="1:15" x14ac:dyDescent="0.25">
      <c r="A12" s="18" t="s">
        <v>145</v>
      </c>
      <c r="B12" s="51"/>
      <c r="C12" s="19">
        <v>500000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20">
        <f t="shared" si="0"/>
        <v>500000</v>
      </c>
    </row>
    <row r="13" spans="1:15" x14ac:dyDescent="0.25">
      <c r="A13" s="18" t="s">
        <v>199</v>
      </c>
      <c r="B13" s="51"/>
      <c r="C13" s="19">
        <v>200000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20">
        <f t="shared" si="0"/>
        <v>200000</v>
      </c>
    </row>
    <row r="14" spans="1:15" x14ac:dyDescent="0.25">
      <c r="A14" s="18" t="s">
        <v>242</v>
      </c>
      <c r="B14" s="5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/>
    </row>
    <row r="15" spans="1:15" x14ac:dyDescent="0.25">
      <c r="A15" s="18" t="s">
        <v>245</v>
      </c>
      <c r="B15" s="51"/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20">
        <f t="shared" si="0"/>
        <v>0</v>
      </c>
    </row>
    <row r="16" spans="1:15" x14ac:dyDescent="0.25">
      <c r="A16" s="18" t="s">
        <v>246</v>
      </c>
      <c r="B16" s="51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1:15" x14ac:dyDescent="0.25">
      <c r="A17" s="18" t="s">
        <v>146</v>
      </c>
      <c r="B17" s="51"/>
      <c r="C17" s="19">
        <v>2999999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</row>
    <row r="18" spans="1:15" x14ac:dyDescent="0.25">
      <c r="A18" s="18" t="s">
        <v>248</v>
      </c>
      <c r="B18" s="51"/>
      <c r="C18" s="19">
        <v>3000000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20">
        <f t="shared" si="0"/>
        <v>3000000</v>
      </c>
    </row>
    <row r="19" spans="1:15" x14ac:dyDescent="0.25">
      <c r="A19" s="18" t="s">
        <v>247</v>
      </c>
      <c r="B19" s="51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</row>
    <row r="20" spans="1:15" ht="15.75" x14ac:dyDescent="0.25">
      <c r="A20" s="29" t="s">
        <v>40</v>
      </c>
      <c r="B20" s="53"/>
      <c r="C20" s="30">
        <f t="shared" ref="C20:O20" si="1">SUM(C7:C18)</f>
        <v>15199999</v>
      </c>
      <c r="D20" s="30">
        <f t="shared" si="1"/>
        <v>0</v>
      </c>
      <c r="E20" s="30">
        <f t="shared" si="1"/>
        <v>0</v>
      </c>
      <c r="F20" s="30">
        <f t="shared" si="1"/>
        <v>0</v>
      </c>
      <c r="G20" s="30">
        <f t="shared" si="1"/>
        <v>0</v>
      </c>
      <c r="H20" s="30">
        <f t="shared" si="1"/>
        <v>0</v>
      </c>
      <c r="I20" s="30">
        <f t="shared" si="1"/>
        <v>0</v>
      </c>
      <c r="J20" s="30">
        <f t="shared" si="1"/>
        <v>0</v>
      </c>
      <c r="K20" s="30">
        <f t="shared" si="1"/>
        <v>0</v>
      </c>
      <c r="L20" s="30">
        <f t="shared" si="1"/>
        <v>0</v>
      </c>
      <c r="M20" s="30">
        <f t="shared" si="1"/>
        <v>0</v>
      </c>
      <c r="N20" s="30">
        <f t="shared" si="1"/>
        <v>0</v>
      </c>
      <c r="O20" s="30">
        <f t="shared" si="1"/>
        <v>12200000</v>
      </c>
    </row>
    <row r="21" spans="1:15" x14ac:dyDescent="0.25">
      <c r="A21" s="27" t="s">
        <v>147</v>
      </c>
      <c r="B21" s="52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</row>
    <row r="22" spans="1:15" x14ac:dyDescent="0.25">
      <c r="A22" s="18" t="s">
        <v>49</v>
      </c>
      <c r="B22" s="51"/>
      <c r="C22" s="19">
        <v>1800000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20">
        <f t="shared" ref="O22:O30" si="2">SUM(C22:N22)</f>
        <v>1800000</v>
      </c>
    </row>
    <row r="23" spans="1:15" x14ac:dyDescent="0.25">
      <c r="A23" s="18" t="s">
        <v>51</v>
      </c>
      <c r="B23" s="51"/>
      <c r="C23" s="19">
        <v>1200000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20">
        <f t="shared" si="2"/>
        <v>1200000</v>
      </c>
    </row>
    <row r="24" spans="1:15" x14ac:dyDescent="0.25">
      <c r="A24" s="18" t="s">
        <v>52</v>
      </c>
      <c r="B24" s="51"/>
      <c r="C24" s="19">
        <v>1600000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20">
        <f t="shared" si="2"/>
        <v>1600000</v>
      </c>
    </row>
    <row r="25" spans="1:15" x14ac:dyDescent="0.25">
      <c r="A25" s="18" t="s">
        <v>53</v>
      </c>
      <c r="B25" s="51"/>
      <c r="C25" s="19">
        <v>400000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20">
        <f t="shared" si="2"/>
        <v>400000</v>
      </c>
    </row>
    <row r="26" spans="1:15" x14ac:dyDescent="0.25">
      <c r="A26" s="18" t="s">
        <v>54</v>
      </c>
      <c r="B26" s="51"/>
      <c r="C26" s="19">
        <v>400000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20">
        <f t="shared" si="2"/>
        <v>400000</v>
      </c>
    </row>
    <row r="27" spans="1:15" x14ac:dyDescent="0.25">
      <c r="A27" s="18" t="s">
        <v>56</v>
      </c>
      <c r="B27" s="51"/>
      <c r="C27" s="19">
        <v>300000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20">
        <f t="shared" si="2"/>
        <v>300000</v>
      </c>
    </row>
    <row r="28" spans="1:15" x14ac:dyDescent="0.25">
      <c r="A28" s="18" t="s">
        <v>148</v>
      </c>
      <c r="B28" s="51"/>
      <c r="C28" s="19">
        <v>1200000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20">
        <f t="shared" si="2"/>
        <v>1200000</v>
      </c>
    </row>
    <row r="29" spans="1:15" x14ac:dyDescent="0.25">
      <c r="A29" s="18" t="s">
        <v>190</v>
      </c>
      <c r="B29" s="51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20"/>
    </row>
    <row r="30" spans="1:15" x14ac:dyDescent="0.25">
      <c r="A30" s="18" t="s">
        <v>149</v>
      </c>
      <c r="B30" s="51"/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20">
        <f t="shared" si="2"/>
        <v>0</v>
      </c>
    </row>
    <row r="31" spans="1:15" x14ac:dyDescent="0.25">
      <c r="A31" s="18" t="s">
        <v>212</v>
      </c>
      <c r="B31" s="51"/>
      <c r="C31" s="19">
        <v>350000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20"/>
    </row>
    <row r="32" spans="1:15" x14ac:dyDescent="0.25">
      <c r="A32" s="21" t="s">
        <v>150</v>
      </c>
      <c r="B32" s="54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3"/>
    </row>
    <row r="33" spans="1:15" x14ac:dyDescent="0.25">
      <c r="A33" s="21" t="s">
        <v>150</v>
      </c>
      <c r="B33" s="54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3"/>
    </row>
    <row r="34" spans="1:15" x14ac:dyDescent="0.25">
      <c r="A34" s="21" t="s">
        <v>150</v>
      </c>
      <c r="B34" s="54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3"/>
    </row>
    <row r="35" spans="1:15" ht="15.75" x14ac:dyDescent="0.25">
      <c r="A35" s="29" t="s">
        <v>183</v>
      </c>
      <c r="B35" s="53"/>
      <c r="C35" s="30">
        <f>SUM(C15:C34)</f>
        <v>28449998</v>
      </c>
      <c r="D35" s="30">
        <f t="shared" ref="D35:O35" si="3">SUM(D25:D34)</f>
        <v>0</v>
      </c>
      <c r="E35" s="30">
        <f t="shared" si="3"/>
        <v>0</v>
      </c>
      <c r="F35" s="30">
        <f t="shared" si="3"/>
        <v>0</v>
      </c>
      <c r="G35" s="30">
        <f t="shared" si="3"/>
        <v>0</v>
      </c>
      <c r="H35" s="30">
        <f t="shared" si="3"/>
        <v>0</v>
      </c>
      <c r="I35" s="30">
        <f t="shared" si="3"/>
        <v>0</v>
      </c>
      <c r="J35" s="30">
        <f t="shared" si="3"/>
        <v>0</v>
      </c>
      <c r="K35" s="30">
        <f t="shared" si="3"/>
        <v>0</v>
      </c>
      <c r="L35" s="30">
        <f t="shared" si="3"/>
        <v>0</v>
      </c>
      <c r="M35" s="30">
        <f t="shared" si="3"/>
        <v>0</v>
      </c>
      <c r="N35" s="30">
        <f t="shared" si="3"/>
        <v>0</v>
      </c>
      <c r="O35" s="30">
        <f t="shared" si="3"/>
        <v>2300000</v>
      </c>
    </row>
    <row r="36" spans="1:15" x14ac:dyDescent="0.25">
      <c r="A36" s="27" t="s">
        <v>151</v>
      </c>
      <c r="B36" s="52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</row>
    <row r="37" spans="1:15" x14ac:dyDescent="0.25">
      <c r="A37" s="63" t="s">
        <v>189</v>
      </c>
      <c r="B37" s="64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</row>
    <row r="38" spans="1:15" x14ac:dyDescent="0.25">
      <c r="A38" s="18" t="s">
        <v>57</v>
      </c>
      <c r="B38" s="64"/>
      <c r="C38" s="19">
        <v>200000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20">
        <f t="shared" ref="O38:O51" si="4">SUM(C38:N38)</f>
        <v>200000</v>
      </c>
    </row>
    <row r="39" spans="1:15" x14ac:dyDescent="0.25">
      <c r="A39" s="18" t="s">
        <v>58</v>
      </c>
      <c r="B39" s="64"/>
      <c r="C39" s="19">
        <v>150000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20">
        <f t="shared" si="4"/>
        <v>150000</v>
      </c>
    </row>
    <row r="40" spans="1:15" x14ac:dyDescent="0.25">
      <c r="A40" s="18" t="s">
        <v>152</v>
      </c>
      <c r="B40" s="51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20">
        <f t="shared" si="4"/>
        <v>0</v>
      </c>
    </row>
    <row r="41" spans="1:15" x14ac:dyDescent="0.25">
      <c r="A41" s="18" t="s">
        <v>153</v>
      </c>
      <c r="B41" s="51"/>
      <c r="C41" s="19">
        <v>391000</v>
      </c>
      <c r="D41" s="19">
        <v>380000</v>
      </c>
      <c r="E41" s="19">
        <v>375000</v>
      </c>
      <c r="F41" s="19">
        <v>371000</v>
      </c>
      <c r="G41" s="19">
        <v>366000</v>
      </c>
      <c r="H41" s="19">
        <v>362000</v>
      </c>
      <c r="I41" s="19">
        <v>357000</v>
      </c>
      <c r="J41" s="19">
        <v>353000</v>
      </c>
      <c r="K41" s="19">
        <v>349000</v>
      </c>
      <c r="L41" s="19">
        <v>344000</v>
      </c>
      <c r="M41" s="19">
        <v>340000</v>
      </c>
      <c r="N41" s="19">
        <v>336000</v>
      </c>
      <c r="O41" s="20">
        <f t="shared" si="4"/>
        <v>4324000</v>
      </c>
    </row>
    <row r="42" spans="1:15" x14ac:dyDescent="0.25">
      <c r="A42" s="18" t="s">
        <v>60</v>
      </c>
      <c r="B42" s="51"/>
      <c r="C42" s="19">
        <v>2000000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20">
        <f t="shared" si="4"/>
        <v>2000000</v>
      </c>
    </row>
    <row r="43" spans="1:15" x14ac:dyDescent="0.25">
      <c r="A43" s="18" t="s">
        <v>61</v>
      </c>
      <c r="B43" s="51"/>
      <c r="C43" s="19">
        <v>800000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20">
        <f t="shared" si="4"/>
        <v>800000</v>
      </c>
    </row>
    <row r="44" spans="1:15" x14ac:dyDescent="0.25">
      <c r="A44" s="18" t="s">
        <v>154</v>
      </c>
      <c r="B44" s="51"/>
      <c r="C44" s="19">
        <v>500000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20">
        <f t="shared" si="4"/>
        <v>500000</v>
      </c>
    </row>
    <row r="45" spans="1:15" x14ac:dyDescent="0.25">
      <c r="A45" s="18" t="s">
        <v>62</v>
      </c>
      <c r="B45" s="51"/>
      <c r="C45" s="19">
        <v>850000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20">
        <f t="shared" si="4"/>
        <v>850000</v>
      </c>
    </row>
    <row r="46" spans="1:15" x14ac:dyDescent="0.25">
      <c r="A46" s="18" t="s">
        <v>63</v>
      </c>
      <c r="B46" s="51"/>
      <c r="C46" s="19">
        <v>650000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20">
        <f t="shared" si="4"/>
        <v>650000</v>
      </c>
    </row>
    <row r="47" spans="1:15" x14ac:dyDescent="0.25">
      <c r="A47" s="18" t="s">
        <v>155</v>
      </c>
      <c r="B47" s="51"/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20">
        <f t="shared" si="4"/>
        <v>0</v>
      </c>
    </row>
    <row r="48" spans="1:15" x14ac:dyDescent="0.25">
      <c r="A48" s="18" t="s">
        <v>191</v>
      </c>
      <c r="B48" s="51"/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20">
        <f t="shared" si="4"/>
        <v>0</v>
      </c>
    </row>
    <row r="49" spans="1:15" x14ac:dyDescent="0.25">
      <c r="A49" s="18" t="s">
        <v>192</v>
      </c>
      <c r="B49" s="51"/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20">
        <f t="shared" si="4"/>
        <v>0</v>
      </c>
    </row>
    <row r="50" spans="1:15" x14ac:dyDescent="0.25">
      <c r="A50" s="18" t="s">
        <v>193</v>
      </c>
      <c r="B50" s="51"/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20">
        <f t="shared" si="4"/>
        <v>0</v>
      </c>
    </row>
    <row r="51" spans="1:15" x14ac:dyDescent="0.25">
      <c r="A51" s="18" t="s">
        <v>209</v>
      </c>
      <c r="B51" s="51"/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20">
        <f t="shared" si="4"/>
        <v>0</v>
      </c>
    </row>
    <row r="52" spans="1:15" x14ac:dyDescent="0.25">
      <c r="A52" s="21" t="s">
        <v>150</v>
      </c>
      <c r="B52" s="54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3"/>
    </row>
    <row r="53" spans="1:15" x14ac:dyDescent="0.25">
      <c r="A53" s="21" t="s">
        <v>150</v>
      </c>
      <c r="B53" s="54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3"/>
    </row>
    <row r="54" spans="1:15" x14ac:dyDescent="0.25">
      <c r="A54" s="21" t="s">
        <v>150</v>
      </c>
      <c r="B54" s="54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3"/>
    </row>
    <row r="55" spans="1:15" ht="15.75" x14ac:dyDescent="0.25">
      <c r="A55" s="29" t="s">
        <v>182</v>
      </c>
      <c r="B55" s="53"/>
      <c r="C55" s="30">
        <f>SUM(C37:C51)</f>
        <v>5541000</v>
      </c>
      <c r="D55" s="30">
        <f t="shared" ref="D55:O55" si="5">SUM(D44:D51)</f>
        <v>0</v>
      </c>
      <c r="E55" s="30">
        <f t="shared" si="5"/>
        <v>0</v>
      </c>
      <c r="F55" s="30">
        <f t="shared" si="5"/>
        <v>0</v>
      </c>
      <c r="G55" s="30">
        <f t="shared" si="5"/>
        <v>0</v>
      </c>
      <c r="H55" s="30">
        <f t="shared" si="5"/>
        <v>0</v>
      </c>
      <c r="I55" s="30">
        <f t="shared" si="5"/>
        <v>0</v>
      </c>
      <c r="J55" s="30">
        <f t="shared" si="5"/>
        <v>0</v>
      </c>
      <c r="K55" s="30">
        <f t="shared" si="5"/>
        <v>0</v>
      </c>
      <c r="L55" s="30">
        <f t="shared" si="5"/>
        <v>0</v>
      </c>
      <c r="M55" s="30">
        <f t="shared" si="5"/>
        <v>0</v>
      </c>
      <c r="N55" s="30">
        <f t="shared" si="5"/>
        <v>0</v>
      </c>
      <c r="O55" s="30">
        <f t="shared" si="5"/>
        <v>2000000</v>
      </c>
    </row>
    <row r="56" spans="1:15" x14ac:dyDescent="0.25">
      <c r="A56" s="27" t="s">
        <v>181</v>
      </c>
      <c r="B56" s="52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</row>
    <row r="57" spans="1:15" x14ac:dyDescent="0.25">
      <c r="A57" s="18" t="s">
        <v>184</v>
      </c>
      <c r="B57" s="51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20"/>
    </row>
    <row r="58" spans="1:15" x14ac:dyDescent="0.25">
      <c r="A58" s="18" t="s">
        <v>185</v>
      </c>
      <c r="B58" s="51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20"/>
    </row>
    <row r="59" spans="1:15" x14ac:dyDescent="0.25">
      <c r="A59" s="18" t="s">
        <v>186</v>
      </c>
      <c r="B59" s="51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20"/>
    </row>
    <row r="60" spans="1:15" x14ac:dyDescent="0.25">
      <c r="A60" s="18" t="s">
        <v>187</v>
      </c>
      <c r="B60" s="51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20"/>
    </row>
    <row r="61" spans="1:15" x14ac:dyDescent="0.25">
      <c r="A61" s="18" t="s">
        <v>188</v>
      </c>
      <c r="B61" s="51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20"/>
    </row>
    <row r="62" spans="1:15" x14ac:dyDescent="0.25">
      <c r="A62" s="18" t="s">
        <v>194</v>
      </c>
      <c r="B62" s="51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20"/>
    </row>
    <row r="63" spans="1:15" x14ac:dyDescent="0.25">
      <c r="A63" s="18" t="s">
        <v>195</v>
      </c>
      <c r="B63" s="51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20"/>
    </row>
    <row r="64" spans="1:15" x14ac:dyDescent="0.25">
      <c r="A64" s="18" t="s">
        <v>196</v>
      </c>
      <c r="B64" s="51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20"/>
    </row>
    <row r="65" spans="1:15" x14ac:dyDescent="0.25">
      <c r="A65" s="18" t="s">
        <v>197</v>
      </c>
      <c r="B65" s="51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20"/>
    </row>
    <row r="66" spans="1:15" x14ac:dyDescent="0.25">
      <c r="A66" s="21" t="s">
        <v>150</v>
      </c>
      <c r="B66" s="54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3"/>
    </row>
    <row r="67" spans="1:15" x14ac:dyDescent="0.25">
      <c r="A67" s="21" t="s">
        <v>150</v>
      </c>
      <c r="B67" s="54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3"/>
    </row>
    <row r="68" spans="1:15" x14ac:dyDescent="0.25">
      <c r="A68" s="21" t="s">
        <v>150</v>
      </c>
      <c r="B68" s="54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3"/>
    </row>
    <row r="69" spans="1:15" ht="15.75" x14ac:dyDescent="0.25">
      <c r="A69" s="29" t="s">
        <v>208</v>
      </c>
      <c r="B69" s="53"/>
      <c r="C69" s="30">
        <f>SUM(C49:C65)</f>
        <v>5541000</v>
      </c>
      <c r="D69" s="30">
        <f t="shared" ref="D69:O69" si="6">SUM(D56:D65)</f>
        <v>0</v>
      </c>
      <c r="E69" s="30">
        <f t="shared" si="6"/>
        <v>0</v>
      </c>
      <c r="F69" s="30">
        <f t="shared" si="6"/>
        <v>0</v>
      </c>
      <c r="G69" s="30">
        <f t="shared" si="6"/>
        <v>0</v>
      </c>
      <c r="H69" s="30">
        <f t="shared" si="6"/>
        <v>0</v>
      </c>
      <c r="I69" s="30">
        <f t="shared" si="6"/>
        <v>0</v>
      </c>
      <c r="J69" s="30">
        <f t="shared" si="6"/>
        <v>0</v>
      </c>
      <c r="K69" s="30">
        <f t="shared" si="6"/>
        <v>0</v>
      </c>
      <c r="L69" s="30">
        <f t="shared" si="6"/>
        <v>0</v>
      </c>
      <c r="M69" s="30">
        <f t="shared" si="6"/>
        <v>0</v>
      </c>
      <c r="N69" s="30">
        <f t="shared" si="6"/>
        <v>0</v>
      </c>
      <c r="O69" s="30">
        <f t="shared" si="6"/>
        <v>0</v>
      </c>
    </row>
    <row r="70" spans="1:15" x14ac:dyDescent="0.25">
      <c r="A70" s="27" t="s">
        <v>156</v>
      </c>
      <c r="B70" s="52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</row>
    <row r="71" spans="1:15" x14ac:dyDescent="0.25">
      <c r="A71" s="18" t="s">
        <v>65</v>
      </c>
      <c r="B71" s="51"/>
      <c r="C71" s="19">
        <v>250000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20">
        <f t="shared" ref="O71:O85" si="7">SUM(C71:N71)</f>
        <v>250000</v>
      </c>
    </row>
    <row r="72" spans="1:15" x14ac:dyDescent="0.25">
      <c r="A72" s="18" t="s">
        <v>211</v>
      </c>
      <c r="B72" s="51"/>
      <c r="C72" s="19"/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20">
        <f t="shared" si="7"/>
        <v>0</v>
      </c>
    </row>
    <row r="73" spans="1:15" x14ac:dyDescent="0.25">
      <c r="A73" s="18" t="s">
        <v>157</v>
      </c>
      <c r="B73" s="51"/>
      <c r="C73" s="19">
        <v>0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20">
        <f t="shared" si="7"/>
        <v>0</v>
      </c>
    </row>
    <row r="74" spans="1:15" x14ac:dyDescent="0.25">
      <c r="A74" s="18" t="s">
        <v>158</v>
      </c>
      <c r="B74" s="51"/>
      <c r="C74" s="19">
        <v>0</v>
      </c>
      <c r="D74" s="19">
        <v>0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20">
        <f t="shared" si="7"/>
        <v>0</v>
      </c>
    </row>
    <row r="75" spans="1:15" x14ac:dyDescent="0.25">
      <c r="A75" s="18" t="s">
        <v>159</v>
      </c>
      <c r="B75" s="51"/>
      <c r="C75" s="19">
        <v>0</v>
      </c>
      <c r="D75" s="19">
        <v>0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20">
        <f t="shared" si="7"/>
        <v>0</v>
      </c>
    </row>
    <row r="76" spans="1:15" x14ac:dyDescent="0.25">
      <c r="A76" s="18" t="s">
        <v>160</v>
      </c>
      <c r="B76" s="51"/>
      <c r="C76" s="19">
        <v>0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20">
        <f t="shared" si="7"/>
        <v>0</v>
      </c>
    </row>
    <row r="77" spans="1:15" x14ac:dyDescent="0.25">
      <c r="A77" s="18" t="s">
        <v>161</v>
      </c>
      <c r="B77" s="51"/>
      <c r="C77" s="19">
        <v>0</v>
      </c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20">
        <f t="shared" si="7"/>
        <v>0</v>
      </c>
    </row>
    <row r="78" spans="1:15" x14ac:dyDescent="0.25">
      <c r="A78" s="18" t="s">
        <v>203</v>
      </c>
      <c r="B78" s="51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20"/>
    </row>
    <row r="79" spans="1:15" x14ac:dyDescent="0.25">
      <c r="A79" s="18" t="s">
        <v>204</v>
      </c>
      <c r="B79" s="51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20"/>
    </row>
    <row r="80" spans="1:15" x14ac:dyDescent="0.25">
      <c r="A80" s="18" t="s">
        <v>201</v>
      </c>
      <c r="B80" s="51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20"/>
    </row>
    <row r="81" spans="1:15" x14ac:dyDescent="0.25">
      <c r="A81" s="18" t="s">
        <v>202</v>
      </c>
      <c r="B81" s="51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20"/>
    </row>
    <row r="82" spans="1:15" x14ac:dyDescent="0.25">
      <c r="A82" s="18" t="s">
        <v>200</v>
      </c>
      <c r="B82" s="51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20"/>
    </row>
    <row r="83" spans="1:15" x14ac:dyDescent="0.25">
      <c r="A83" s="18" t="s">
        <v>205</v>
      </c>
      <c r="B83" s="51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20"/>
    </row>
    <row r="84" spans="1:15" x14ac:dyDescent="0.25">
      <c r="A84" s="18" t="s">
        <v>206</v>
      </c>
      <c r="B84" s="51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20"/>
    </row>
    <row r="85" spans="1:15" x14ac:dyDescent="0.25">
      <c r="A85" s="18" t="s">
        <v>162</v>
      </c>
      <c r="B85" s="51"/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20">
        <f t="shared" si="7"/>
        <v>0</v>
      </c>
    </row>
    <row r="86" spans="1:15" x14ac:dyDescent="0.25">
      <c r="A86" s="21" t="s">
        <v>150</v>
      </c>
      <c r="B86" s="54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3"/>
    </row>
    <row r="87" spans="1:15" x14ac:dyDescent="0.25">
      <c r="A87" s="21" t="s">
        <v>150</v>
      </c>
      <c r="B87" s="54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3"/>
    </row>
    <row r="88" spans="1:15" x14ac:dyDescent="0.25">
      <c r="A88" s="21" t="s">
        <v>150</v>
      </c>
      <c r="B88" s="54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3"/>
    </row>
    <row r="89" spans="1:15" ht="15.75" x14ac:dyDescent="0.25">
      <c r="A89" s="29" t="s">
        <v>207</v>
      </c>
      <c r="B89" s="53"/>
      <c r="C89" s="30">
        <f>SUM(C67:C85)</f>
        <v>5791000</v>
      </c>
      <c r="D89" s="30">
        <f t="shared" ref="D89:O89" si="8">SUM(D76:D85)</f>
        <v>0</v>
      </c>
      <c r="E89" s="30">
        <f t="shared" si="8"/>
        <v>0</v>
      </c>
      <c r="F89" s="30">
        <f t="shared" si="8"/>
        <v>0</v>
      </c>
      <c r="G89" s="30">
        <f t="shared" si="8"/>
        <v>0</v>
      </c>
      <c r="H89" s="30">
        <f t="shared" si="8"/>
        <v>0</v>
      </c>
      <c r="I89" s="30">
        <f t="shared" si="8"/>
        <v>0</v>
      </c>
      <c r="J89" s="30">
        <f t="shared" si="8"/>
        <v>0</v>
      </c>
      <c r="K89" s="30">
        <f t="shared" si="8"/>
        <v>0</v>
      </c>
      <c r="L89" s="30">
        <f t="shared" si="8"/>
        <v>0</v>
      </c>
      <c r="M89" s="30">
        <f t="shared" si="8"/>
        <v>0</v>
      </c>
      <c r="N89" s="30">
        <f t="shared" si="8"/>
        <v>0</v>
      </c>
      <c r="O89" s="30">
        <f t="shared" si="8"/>
        <v>0</v>
      </c>
    </row>
    <row r="90" spans="1:15" x14ac:dyDescent="0.25">
      <c r="A90" s="27" t="s">
        <v>163</v>
      </c>
      <c r="B90" s="52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</row>
    <row r="91" spans="1:15" x14ac:dyDescent="0.25">
      <c r="A91" s="18" t="s">
        <v>85</v>
      </c>
      <c r="B91" s="51"/>
      <c r="C91" s="19">
        <v>400000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20">
        <f>SUM(C91:N91)</f>
        <v>400000</v>
      </c>
    </row>
    <row r="92" spans="1:15" x14ac:dyDescent="0.25">
      <c r="A92" s="18" t="s">
        <v>83</v>
      </c>
      <c r="B92" s="51"/>
      <c r="C92" s="19">
        <v>200000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20">
        <f>SUM(C92:N92)</f>
        <v>200000</v>
      </c>
    </row>
    <row r="93" spans="1:15" x14ac:dyDescent="0.25">
      <c r="A93" s="18" t="s">
        <v>238</v>
      </c>
      <c r="B93" s="51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20"/>
    </row>
    <row r="94" spans="1:15" x14ac:dyDescent="0.25">
      <c r="A94" s="18" t="s">
        <v>239</v>
      </c>
      <c r="B94" s="51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20"/>
    </row>
    <row r="95" spans="1:15" x14ac:dyDescent="0.25">
      <c r="A95" s="18" t="s">
        <v>240</v>
      </c>
      <c r="B95" s="51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20"/>
    </row>
    <row r="96" spans="1:15" x14ac:dyDescent="0.25">
      <c r="A96" s="18" t="s">
        <v>164</v>
      </c>
      <c r="B96" s="51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20"/>
    </row>
    <row r="97" spans="1:15" x14ac:dyDescent="0.25">
      <c r="A97" s="18" t="s">
        <v>165</v>
      </c>
      <c r="B97" s="51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20"/>
    </row>
    <row r="98" spans="1:15" x14ac:dyDescent="0.25">
      <c r="A98" s="18" t="s">
        <v>166</v>
      </c>
      <c r="B98" s="51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20"/>
    </row>
    <row r="99" spans="1:15" x14ac:dyDescent="0.25">
      <c r="A99" s="18" t="s">
        <v>167</v>
      </c>
      <c r="B99" s="51"/>
      <c r="C99" s="19">
        <v>300000</v>
      </c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20">
        <f>SUM(C99:N99)</f>
        <v>300000</v>
      </c>
    </row>
    <row r="100" spans="1:15" x14ac:dyDescent="0.25">
      <c r="A100" s="21" t="s">
        <v>150</v>
      </c>
      <c r="B100" s="54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3"/>
    </row>
    <row r="101" spans="1:15" x14ac:dyDescent="0.25">
      <c r="A101" s="21" t="s">
        <v>150</v>
      </c>
      <c r="B101" s="54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3"/>
    </row>
    <row r="102" spans="1:15" x14ac:dyDescent="0.25">
      <c r="A102" s="21" t="s">
        <v>150</v>
      </c>
      <c r="B102" s="54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3"/>
    </row>
    <row r="103" spans="1:15" ht="15.75" x14ac:dyDescent="0.25">
      <c r="A103" s="29" t="s">
        <v>210</v>
      </c>
      <c r="B103" s="53"/>
      <c r="C103" s="30">
        <f>SUM(C79:C99)</f>
        <v>6691000</v>
      </c>
      <c r="D103" s="30">
        <f t="shared" ref="D103:O103" si="9">SUM(D88:D99)</f>
        <v>0</v>
      </c>
      <c r="E103" s="30">
        <f t="shared" si="9"/>
        <v>0</v>
      </c>
      <c r="F103" s="30">
        <f t="shared" si="9"/>
        <v>0</v>
      </c>
      <c r="G103" s="30">
        <f t="shared" si="9"/>
        <v>0</v>
      </c>
      <c r="H103" s="30">
        <f t="shared" si="9"/>
        <v>0</v>
      </c>
      <c r="I103" s="30">
        <f t="shared" si="9"/>
        <v>0</v>
      </c>
      <c r="J103" s="30">
        <f t="shared" si="9"/>
        <v>0</v>
      </c>
      <c r="K103" s="30">
        <f t="shared" si="9"/>
        <v>0</v>
      </c>
      <c r="L103" s="30">
        <f t="shared" si="9"/>
        <v>0</v>
      </c>
      <c r="M103" s="30">
        <f t="shared" si="9"/>
        <v>0</v>
      </c>
      <c r="N103" s="30">
        <f t="shared" si="9"/>
        <v>0</v>
      </c>
      <c r="O103" s="30">
        <f t="shared" si="9"/>
        <v>900000</v>
      </c>
    </row>
    <row r="104" spans="1:15" x14ac:dyDescent="0.25">
      <c r="A104" s="68" t="s">
        <v>249</v>
      </c>
      <c r="B104" s="69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</row>
    <row r="105" spans="1:15" ht="15.75" x14ac:dyDescent="0.25">
      <c r="A105" s="65" t="s">
        <v>250</v>
      </c>
      <c r="B105" s="66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</row>
    <row r="106" spans="1:15" ht="15.75" x14ac:dyDescent="0.25">
      <c r="A106" s="65" t="s">
        <v>251</v>
      </c>
      <c r="B106" s="66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</row>
    <row r="107" spans="1:15" ht="15.75" x14ac:dyDescent="0.25">
      <c r="A107" s="29" t="s">
        <v>252</v>
      </c>
      <c r="B107" s="53"/>
      <c r="C107" s="30"/>
      <c r="D107" s="30">
        <f t="shared" ref="D107:N107" si="10">SUM(D94:D103)</f>
        <v>0</v>
      </c>
      <c r="E107" s="30">
        <f t="shared" si="10"/>
        <v>0</v>
      </c>
      <c r="F107" s="30">
        <f t="shared" si="10"/>
        <v>0</v>
      </c>
      <c r="G107" s="30">
        <f t="shared" si="10"/>
        <v>0</v>
      </c>
      <c r="H107" s="30">
        <f t="shared" si="10"/>
        <v>0</v>
      </c>
      <c r="I107" s="30">
        <f t="shared" si="10"/>
        <v>0</v>
      </c>
      <c r="J107" s="30">
        <f t="shared" si="10"/>
        <v>0</v>
      </c>
      <c r="K107" s="30">
        <f t="shared" si="10"/>
        <v>0</v>
      </c>
      <c r="L107" s="30">
        <f t="shared" si="10"/>
        <v>0</v>
      </c>
      <c r="M107" s="30">
        <f t="shared" si="10"/>
        <v>0</v>
      </c>
      <c r="N107" s="30">
        <f t="shared" si="10"/>
        <v>0</v>
      </c>
      <c r="O107" s="30"/>
    </row>
    <row r="108" spans="1:15" ht="18.75" x14ac:dyDescent="0.3">
      <c r="A108" s="31" t="s">
        <v>41</v>
      </c>
      <c r="B108" s="56"/>
      <c r="C108" s="32">
        <f t="shared" ref="C108:O108" si="11">SUM(C22:C99)</f>
        <v>59263998</v>
      </c>
      <c r="D108" s="32">
        <f t="shared" si="11"/>
        <v>380000</v>
      </c>
      <c r="E108" s="32">
        <f t="shared" si="11"/>
        <v>375000</v>
      </c>
      <c r="F108" s="32">
        <f t="shared" si="11"/>
        <v>371000</v>
      </c>
      <c r="G108" s="32">
        <f t="shared" si="11"/>
        <v>366000</v>
      </c>
      <c r="H108" s="32">
        <f t="shared" si="11"/>
        <v>362000</v>
      </c>
      <c r="I108" s="32">
        <f t="shared" si="11"/>
        <v>357000</v>
      </c>
      <c r="J108" s="32">
        <f t="shared" si="11"/>
        <v>353000</v>
      </c>
      <c r="K108" s="32">
        <f t="shared" si="11"/>
        <v>349000</v>
      </c>
      <c r="L108" s="32">
        <f t="shared" si="11"/>
        <v>344000</v>
      </c>
      <c r="M108" s="32">
        <f t="shared" si="11"/>
        <v>340000</v>
      </c>
      <c r="N108" s="32">
        <f t="shared" si="11"/>
        <v>336000</v>
      </c>
      <c r="O108" s="32">
        <f t="shared" si="11"/>
        <v>21824000</v>
      </c>
    </row>
    <row r="109" spans="1:15" ht="18.75" x14ac:dyDescent="0.3">
      <c r="A109" s="33" t="s">
        <v>168</v>
      </c>
      <c r="B109" s="57"/>
      <c r="C109" s="34">
        <f t="shared" ref="C109:O109" si="12">C20-C108</f>
        <v>-44063999</v>
      </c>
      <c r="D109" s="34">
        <f t="shared" si="12"/>
        <v>-380000</v>
      </c>
      <c r="E109" s="34">
        <f t="shared" si="12"/>
        <v>-375000</v>
      </c>
      <c r="F109" s="34">
        <f t="shared" si="12"/>
        <v>-371000</v>
      </c>
      <c r="G109" s="34">
        <f t="shared" si="12"/>
        <v>-366000</v>
      </c>
      <c r="H109" s="34">
        <f t="shared" si="12"/>
        <v>-362000</v>
      </c>
      <c r="I109" s="34">
        <f t="shared" si="12"/>
        <v>-357000</v>
      </c>
      <c r="J109" s="34">
        <f t="shared" si="12"/>
        <v>-353000</v>
      </c>
      <c r="K109" s="34">
        <f t="shared" si="12"/>
        <v>-349000</v>
      </c>
      <c r="L109" s="34">
        <f t="shared" si="12"/>
        <v>-344000</v>
      </c>
      <c r="M109" s="34">
        <f t="shared" si="12"/>
        <v>-340000</v>
      </c>
      <c r="N109" s="34">
        <f t="shared" si="12"/>
        <v>-336000</v>
      </c>
      <c r="O109" s="34">
        <f t="shared" si="12"/>
        <v>-9624000</v>
      </c>
    </row>
    <row r="111" spans="1:15" ht="28.5" customHeight="1" x14ac:dyDescent="0.25">
      <c r="A111" s="113" t="s">
        <v>169</v>
      </c>
      <c r="B111" s="114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6"/>
    </row>
    <row r="112" spans="1:15" x14ac:dyDescent="0.25">
      <c r="A112" s="25" t="s">
        <v>44</v>
      </c>
      <c r="B112" s="25" t="s">
        <v>45</v>
      </c>
      <c r="C112" s="25" t="s">
        <v>28</v>
      </c>
      <c r="D112" s="25" t="s">
        <v>29</v>
      </c>
      <c r="E112" s="25" t="s">
        <v>30</v>
      </c>
      <c r="F112" s="25" t="s">
        <v>31</v>
      </c>
      <c r="G112" s="25" t="s">
        <v>32</v>
      </c>
      <c r="H112" s="25" t="s">
        <v>33</v>
      </c>
      <c r="I112" s="25" t="s">
        <v>34</v>
      </c>
      <c r="J112" s="25" t="s">
        <v>35</v>
      </c>
      <c r="K112" s="25" t="s">
        <v>36</v>
      </c>
      <c r="L112" s="25" t="s">
        <v>37</v>
      </c>
      <c r="M112" s="25" t="s">
        <v>38</v>
      </c>
      <c r="N112" s="25" t="s">
        <v>39</v>
      </c>
      <c r="O112" s="25" t="s">
        <v>140</v>
      </c>
    </row>
    <row r="113" spans="1:15" x14ac:dyDescent="0.25">
      <c r="A113" s="16" t="s">
        <v>170</v>
      </c>
      <c r="B113" s="55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</row>
    <row r="114" spans="1:15" x14ac:dyDescent="0.25">
      <c r="A114" s="18" t="s">
        <v>216</v>
      </c>
      <c r="B114" s="51"/>
      <c r="C114" s="19">
        <v>25000000</v>
      </c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  <c r="J114" s="19">
        <v>0</v>
      </c>
      <c r="K114" s="19">
        <v>0</v>
      </c>
      <c r="L114" s="19">
        <v>0</v>
      </c>
      <c r="M114" s="19">
        <v>0</v>
      </c>
      <c r="N114" s="19">
        <v>0</v>
      </c>
      <c r="O114" s="20">
        <f>SUM(C114:N114)</f>
        <v>25000000</v>
      </c>
    </row>
    <row r="115" spans="1:15" x14ac:dyDescent="0.25">
      <c r="A115" s="18" t="s">
        <v>215</v>
      </c>
      <c r="B115" s="51"/>
      <c r="C115" s="19">
        <v>5000000</v>
      </c>
      <c r="D115" s="19">
        <v>0</v>
      </c>
      <c r="E115" s="19">
        <v>0</v>
      </c>
      <c r="F115" s="19">
        <v>0</v>
      </c>
      <c r="G115" s="19">
        <v>0</v>
      </c>
      <c r="H115" s="19">
        <v>0</v>
      </c>
      <c r="I115" s="19">
        <v>0</v>
      </c>
      <c r="J115" s="19">
        <v>0</v>
      </c>
      <c r="K115" s="19">
        <v>0</v>
      </c>
      <c r="L115" s="19">
        <v>0</v>
      </c>
      <c r="M115" s="19">
        <v>0</v>
      </c>
      <c r="N115" s="19">
        <v>0</v>
      </c>
      <c r="O115" s="20">
        <f>SUM(C115:N115)</f>
        <v>5000000</v>
      </c>
    </row>
    <row r="116" spans="1:15" x14ac:dyDescent="0.25">
      <c r="A116" t="s">
        <v>137</v>
      </c>
      <c r="C116" s="19"/>
      <c r="D116" s="19">
        <v>0</v>
      </c>
      <c r="E116" s="19">
        <v>0</v>
      </c>
      <c r="F116" s="19">
        <v>0</v>
      </c>
      <c r="G116" s="19">
        <v>0</v>
      </c>
      <c r="H116" s="19">
        <v>0</v>
      </c>
      <c r="I116" s="19">
        <v>0</v>
      </c>
      <c r="J116" s="19">
        <v>0</v>
      </c>
      <c r="K116" s="19">
        <v>0</v>
      </c>
      <c r="L116" s="19">
        <v>0</v>
      </c>
      <c r="M116" s="19">
        <v>0</v>
      </c>
      <c r="N116" s="19">
        <v>0</v>
      </c>
      <c r="O116" s="20">
        <f>SUM(C116:N116)</f>
        <v>0</v>
      </c>
    </row>
    <row r="117" spans="1:15" x14ac:dyDescent="0.25">
      <c r="A117" s="21" t="s">
        <v>150</v>
      </c>
      <c r="B117" s="54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3"/>
    </row>
    <row r="118" spans="1:15" x14ac:dyDescent="0.25">
      <c r="A118" s="21" t="s">
        <v>150</v>
      </c>
      <c r="B118" s="54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3"/>
    </row>
    <row r="119" spans="1:15" x14ac:dyDescent="0.25">
      <c r="A119" s="21" t="s">
        <v>150</v>
      </c>
      <c r="B119" s="54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3"/>
    </row>
    <row r="120" spans="1:15" ht="15.75" x14ac:dyDescent="0.25">
      <c r="A120" s="35" t="s">
        <v>171</v>
      </c>
      <c r="B120" s="59"/>
      <c r="C120" s="36">
        <f t="shared" ref="C120:O120" si="13">SUM(C114:C119)</f>
        <v>30000000</v>
      </c>
      <c r="D120" s="36">
        <f t="shared" si="13"/>
        <v>0</v>
      </c>
      <c r="E120" s="36">
        <f t="shared" si="13"/>
        <v>0</v>
      </c>
      <c r="F120" s="36">
        <f t="shared" si="13"/>
        <v>0</v>
      </c>
      <c r="G120" s="36">
        <f t="shared" si="13"/>
        <v>0</v>
      </c>
      <c r="H120" s="36">
        <f t="shared" si="13"/>
        <v>0</v>
      </c>
      <c r="I120" s="36">
        <f t="shared" si="13"/>
        <v>0</v>
      </c>
      <c r="J120" s="36">
        <f t="shared" si="13"/>
        <v>0</v>
      </c>
      <c r="K120" s="36">
        <f t="shared" si="13"/>
        <v>0</v>
      </c>
      <c r="L120" s="36">
        <f t="shared" si="13"/>
        <v>0</v>
      </c>
      <c r="M120" s="36">
        <f t="shared" si="13"/>
        <v>0</v>
      </c>
      <c r="N120" s="36">
        <f t="shared" si="13"/>
        <v>0</v>
      </c>
      <c r="O120" s="36">
        <f t="shared" si="13"/>
        <v>30000000</v>
      </c>
    </row>
    <row r="121" spans="1:15" x14ac:dyDescent="0.25">
      <c r="A121" s="16" t="s">
        <v>230</v>
      </c>
      <c r="B121" s="55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</row>
    <row r="122" spans="1:15" x14ac:dyDescent="0.25">
      <c r="A122" s="18" t="s">
        <v>68</v>
      </c>
      <c r="B122" s="51"/>
      <c r="C122" s="19">
        <v>13500000</v>
      </c>
      <c r="D122" s="19">
        <v>0</v>
      </c>
      <c r="E122" s="19">
        <v>0</v>
      </c>
      <c r="F122" s="19">
        <v>0</v>
      </c>
      <c r="G122" s="19">
        <v>0</v>
      </c>
      <c r="H122" s="19">
        <v>0</v>
      </c>
      <c r="I122" s="19">
        <v>0</v>
      </c>
      <c r="J122" s="19">
        <v>0</v>
      </c>
      <c r="K122" s="19">
        <v>0</v>
      </c>
      <c r="L122" s="19">
        <v>0</v>
      </c>
      <c r="M122" s="19">
        <v>0</v>
      </c>
      <c r="N122" s="19">
        <v>0</v>
      </c>
      <c r="O122" s="20">
        <f>SUM(C122:N122)</f>
        <v>13500000</v>
      </c>
    </row>
    <row r="123" spans="1:15" x14ac:dyDescent="0.25">
      <c r="A123" s="18" t="s">
        <v>69</v>
      </c>
      <c r="B123" s="51"/>
      <c r="C123" s="19">
        <v>4130000</v>
      </c>
      <c r="D123" s="19">
        <v>0</v>
      </c>
      <c r="E123" s="19">
        <v>0</v>
      </c>
      <c r="F123" s="19">
        <v>0</v>
      </c>
      <c r="G123" s="19">
        <v>0</v>
      </c>
      <c r="H123" s="19">
        <v>0</v>
      </c>
      <c r="I123" s="19">
        <v>0</v>
      </c>
      <c r="J123" s="19">
        <v>0</v>
      </c>
      <c r="K123" s="19">
        <v>0</v>
      </c>
      <c r="L123" s="19">
        <v>0</v>
      </c>
      <c r="M123" s="19">
        <v>0</v>
      </c>
      <c r="N123" s="19">
        <v>0</v>
      </c>
      <c r="O123" s="20">
        <f>SUM(C123:N123)</f>
        <v>4130000</v>
      </c>
    </row>
    <row r="124" spans="1:15" x14ac:dyDescent="0.25">
      <c r="A124" s="18" t="s">
        <v>220</v>
      </c>
      <c r="B124" s="51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20"/>
    </row>
    <row r="125" spans="1:15" x14ac:dyDescent="0.25">
      <c r="A125" s="21" t="s">
        <v>150</v>
      </c>
      <c r="B125" s="54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3"/>
    </row>
    <row r="126" spans="1:15" x14ac:dyDescent="0.25">
      <c r="A126" s="21" t="s">
        <v>150</v>
      </c>
      <c r="B126" s="54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3"/>
    </row>
    <row r="127" spans="1:15" x14ac:dyDescent="0.25">
      <c r="A127" s="21" t="s">
        <v>150</v>
      </c>
      <c r="B127" s="54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3"/>
    </row>
    <row r="128" spans="1:15" ht="15.75" x14ac:dyDescent="0.25">
      <c r="A128" s="35" t="s">
        <v>231</v>
      </c>
      <c r="B128" s="59"/>
      <c r="C128" s="36">
        <f t="shared" ref="C128:O128" si="14">SUM(C122:C127)</f>
        <v>17630000</v>
      </c>
      <c r="D128" s="36">
        <f t="shared" si="14"/>
        <v>0</v>
      </c>
      <c r="E128" s="36">
        <f t="shared" si="14"/>
        <v>0</v>
      </c>
      <c r="F128" s="36">
        <f t="shared" si="14"/>
        <v>0</v>
      </c>
      <c r="G128" s="36">
        <f t="shared" si="14"/>
        <v>0</v>
      </c>
      <c r="H128" s="36">
        <f t="shared" si="14"/>
        <v>0</v>
      </c>
      <c r="I128" s="36">
        <f t="shared" si="14"/>
        <v>0</v>
      </c>
      <c r="J128" s="36">
        <f t="shared" si="14"/>
        <v>0</v>
      </c>
      <c r="K128" s="36">
        <f t="shared" si="14"/>
        <v>0</v>
      </c>
      <c r="L128" s="36">
        <f t="shared" si="14"/>
        <v>0</v>
      </c>
      <c r="M128" s="36">
        <f t="shared" si="14"/>
        <v>0</v>
      </c>
      <c r="N128" s="36">
        <f t="shared" si="14"/>
        <v>0</v>
      </c>
      <c r="O128" s="36">
        <f t="shared" si="14"/>
        <v>17630000</v>
      </c>
    </row>
    <row r="129" spans="1:15" x14ac:dyDescent="0.25">
      <c r="A129" s="16" t="s">
        <v>172</v>
      </c>
      <c r="B129" s="55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</row>
    <row r="130" spans="1:15" x14ac:dyDescent="0.25">
      <c r="A130" s="18" t="s">
        <v>72</v>
      </c>
      <c r="B130" s="51"/>
      <c r="C130" s="19">
        <v>2000000</v>
      </c>
      <c r="D130" s="19">
        <v>0</v>
      </c>
      <c r="E130" s="19">
        <v>0</v>
      </c>
      <c r="F130" s="19">
        <v>0</v>
      </c>
      <c r="G130" s="19">
        <v>0</v>
      </c>
      <c r="H130" s="19">
        <v>0</v>
      </c>
      <c r="I130" s="19">
        <v>0</v>
      </c>
      <c r="J130" s="19">
        <v>0</v>
      </c>
      <c r="K130" s="19">
        <v>0</v>
      </c>
      <c r="L130" s="19">
        <v>0</v>
      </c>
      <c r="M130" s="19">
        <v>0</v>
      </c>
      <c r="N130" s="19">
        <v>0</v>
      </c>
      <c r="O130" s="20">
        <f>SUM(C130:N130)</f>
        <v>2000000</v>
      </c>
    </row>
    <row r="131" spans="1:15" x14ac:dyDescent="0.25">
      <c r="A131" s="18" t="s">
        <v>73</v>
      </c>
      <c r="B131" s="51"/>
      <c r="C131" s="19">
        <v>1800000</v>
      </c>
      <c r="D131" s="19">
        <v>0</v>
      </c>
      <c r="E131" s="19">
        <v>0</v>
      </c>
      <c r="F131" s="19">
        <v>0</v>
      </c>
      <c r="G131" s="19">
        <v>0</v>
      </c>
      <c r="H131" s="19">
        <v>0</v>
      </c>
      <c r="I131" s="19">
        <v>0</v>
      </c>
      <c r="J131" s="19">
        <v>0</v>
      </c>
      <c r="K131" s="19">
        <v>0</v>
      </c>
      <c r="L131" s="19">
        <v>0</v>
      </c>
      <c r="M131" s="19">
        <v>0</v>
      </c>
      <c r="N131" s="19">
        <v>0</v>
      </c>
      <c r="O131" s="20">
        <f>SUM(C131:N131)</f>
        <v>1800000</v>
      </c>
    </row>
    <row r="132" spans="1:15" x14ac:dyDescent="0.25">
      <c r="A132" s="18" t="s">
        <v>70</v>
      </c>
      <c r="B132" s="51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20"/>
    </row>
    <row r="133" spans="1:15" x14ac:dyDescent="0.25">
      <c r="A133" s="18" t="s">
        <v>74</v>
      </c>
      <c r="B133" s="51"/>
      <c r="C133" s="19">
        <v>500000</v>
      </c>
      <c r="D133" s="19">
        <v>0</v>
      </c>
      <c r="E133" s="19">
        <v>0</v>
      </c>
      <c r="F133" s="19">
        <v>0</v>
      </c>
      <c r="G133" s="19">
        <v>0</v>
      </c>
      <c r="H133" s="19">
        <v>0</v>
      </c>
      <c r="I133" s="19">
        <v>0</v>
      </c>
      <c r="J133" s="19">
        <v>0</v>
      </c>
      <c r="K133" s="19">
        <v>0</v>
      </c>
      <c r="L133" s="19">
        <v>0</v>
      </c>
      <c r="M133" s="19">
        <v>0</v>
      </c>
      <c r="N133" s="19">
        <v>0</v>
      </c>
      <c r="O133" s="20">
        <f>SUM(C133:N133)</f>
        <v>500000</v>
      </c>
    </row>
    <row r="134" spans="1:15" x14ac:dyDescent="0.25">
      <c r="A134" s="18" t="s">
        <v>173</v>
      </c>
      <c r="B134" s="51"/>
      <c r="C134" s="19">
        <v>5000000</v>
      </c>
      <c r="D134" s="19">
        <v>0</v>
      </c>
      <c r="E134" s="19">
        <v>0</v>
      </c>
      <c r="F134" s="19">
        <v>0</v>
      </c>
      <c r="G134" s="19">
        <v>0</v>
      </c>
      <c r="H134" s="19">
        <v>0</v>
      </c>
      <c r="I134" s="19">
        <v>0</v>
      </c>
      <c r="J134" s="19">
        <v>0</v>
      </c>
      <c r="K134" s="19">
        <v>0</v>
      </c>
      <c r="L134" s="19">
        <v>0</v>
      </c>
      <c r="M134" s="19">
        <v>0</v>
      </c>
      <c r="N134" s="19">
        <v>0</v>
      </c>
      <c r="O134" s="20">
        <f>SUM(C134:N134)</f>
        <v>5000000</v>
      </c>
    </row>
    <row r="135" spans="1:15" x14ac:dyDescent="0.25">
      <c r="A135" s="18" t="s">
        <v>76</v>
      </c>
      <c r="B135" s="51"/>
      <c r="C135" s="19">
        <v>300000</v>
      </c>
      <c r="D135" s="19">
        <v>0</v>
      </c>
      <c r="E135" s="19">
        <v>0</v>
      </c>
      <c r="F135" s="19">
        <v>0</v>
      </c>
      <c r="G135" s="19">
        <v>0</v>
      </c>
      <c r="H135" s="19">
        <v>0</v>
      </c>
      <c r="I135" s="19">
        <v>0</v>
      </c>
      <c r="J135" s="19">
        <v>0</v>
      </c>
      <c r="K135" s="19">
        <v>0</v>
      </c>
      <c r="L135" s="19">
        <v>0</v>
      </c>
      <c r="M135" s="19">
        <v>0</v>
      </c>
      <c r="N135" s="19">
        <v>0</v>
      </c>
      <c r="O135" s="20">
        <f>SUM(C135:N135)</f>
        <v>300000</v>
      </c>
    </row>
    <row r="136" spans="1:15" x14ac:dyDescent="0.25">
      <c r="A136" s="21" t="s">
        <v>150</v>
      </c>
      <c r="B136" s="54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3"/>
    </row>
    <row r="137" spans="1:15" x14ac:dyDescent="0.25">
      <c r="A137" s="21" t="s">
        <v>150</v>
      </c>
      <c r="B137" s="54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3"/>
    </row>
    <row r="138" spans="1:15" x14ac:dyDescent="0.25">
      <c r="A138" s="21" t="s">
        <v>150</v>
      </c>
      <c r="B138" s="54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3"/>
    </row>
    <row r="139" spans="1:15" ht="15.75" x14ac:dyDescent="0.25">
      <c r="A139" s="35" t="s">
        <v>232</v>
      </c>
      <c r="B139" s="59"/>
      <c r="C139" s="36">
        <f>SUM(C130:C138)</f>
        <v>9600000</v>
      </c>
      <c r="D139" s="36">
        <f t="shared" ref="D139:O139" si="15">SUM(D133:D138)</f>
        <v>0</v>
      </c>
      <c r="E139" s="36">
        <f t="shared" si="15"/>
        <v>0</v>
      </c>
      <c r="F139" s="36">
        <f t="shared" si="15"/>
        <v>0</v>
      </c>
      <c r="G139" s="36">
        <f t="shared" si="15"/>
        <v>0</v>
      </c>
      <c r="H139" s="36">
        <f t="shared" si="15"/>
        <v>0</v>
      </c>
      <c r="I139" s="36">
        <f t="shared" si="15"/>
        <v>0</v>
      </c>
      <c r="J139" s="36">
        <f t="shared" si="15"/>
        <v>0</v>
      </c>
      <c r="K139" s="36">
        <f t="shared" si="15"/>
        <v>0</v>
      </c>
      <c r="L139" s="36">
        <f t="shared" si="15"/>
        <v>0</v>
      </c>
      <c r="M139" s="36">
        <f t="shared" si="15"/>
        <v>0</v>
      </c>
      <c r="N139" s="36">
        <f t="shared" si="15"/>
        <v>0</v>
      </c>
      <c r="O139" s="36">
        <f t="shared" si="15"/>
        <v>5800000</v>
      </c>
    </row>
    <row r="140" spans="1:15" x14ac:dyDescent="0.25">
      <c r="A140" s="16" t="s">
        <v>174</v>
      </c>
      <c r="B140" s="55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</row>
    <row r="141" spans="1:15" x14ac:dyDescent="0.25">
      <c r="A141" s="18" t="s">
        <v>78</v>
      </c>
      <c r="B141" s="51"/>
      <c r="C141" s="19">
        <v>100000</v>
      </c>
      <c r="D141" s="19">
        <v>0</v>
      </c>
      <c r="E141" s="19">
        <v>0</v>
      </c>
      <c r="F141" s="19">
        <v>0</v>
      </c>
      <c r="G141" s="19">
        <v>0</v>
      </c>
      <c r="H141" s="19">
        <v>0</v>
      </c>
      <c r="I141" s="19">
        <v>0</v>
      </c>
      <c r="J141" s="19">
        <v>0</v>
      </c>
      <c r="K141" s="19">
        <v>0</v>
      </c>
      <c r="L141" s="19">
        <v>0</v>
      </c>
      <c r="M141" s="19">
        <v>0</v>
      </c>
      <c r="N141" s="19">
        <v>0</v>
      </c>
      <c r="O141" s="20">
        <f>SUM(C141:N141)</f>
        <v>100000</v>
      </c>
    </row>
    <row r="142" spans="1:15" x14ac:dyDescent="0.25">
      <c r="A142" s="18" t="s">
        <v>175</v>
      </c>
      <c r="B142" s="51"/>
      <c r="C142" s="19">
        <v>100000</v>
      </c>
      <c r="D142" s="19">
        <v>0</v>
      </c>
      <c r="E142" s="19">
        <v>0</v>
      </c>
      <c r="F142" s="19">
        <v>0</v>
      </c>
      <c r="G142" s="19">
        <v>0</v>
      </c>
      <c r="H142" s="19">
        <v>0</v>
      </c>
      <c r="I142" s="19">
        <v>0</v>
      </c>
      <c r="J142" s="19">
        <v>0</v>
      </c>
      <c r="K142" s="19">
        <v>0</v>
      </c>
      <c r="L142" s="19">
        <v>0</v>
      </c>
      <c r="M142" s="19">
        <v>0</v>
      </c>
      <c r="N142" s="19">
        <v>0</v>
      </c>
      <c r="O142" s="20">
        <f>SUM(C142:N142)</f>
        <v>100000</v>
      </c>
    </row>
    <row r="143" spans="1:15" x14ac:dyDescent="0.25">
      <c r="A143" s="18" t="s">
        <v>79</v>
      </c>
      <c r="B143" s="51"/>
      <c r="C143" s="19">
        <v>150000</v>
      </c>
      <c r="D143" s="19">
        <v>0</v>
      </c>
      <c r="E143" s="19">
        <v>0</v>
      </c>
      <c r="F143" s="19">
        <v>0</v>
      </c>
      <c r="G143" s="19">
        <v>0</v>
      </c>
      <c r="H143" s="19">
        <v>0</v>
      </c>
      <c r="I143" s="19">
        <v>0</v>
      </c>
      <c r="J143" s="19">
        <v>0</v>
      </c>
      <c r="K143" s="19">
        <v>0</v>
      </c>
      <c r="L143" s="19">
        <v>0</v>
      </c>
      <c r="M143" s="19">
        <v>0</v>
      </c>
      <c r="N143" s="19">
        <v>0</v>
      </c>
      <c r="O143" s="20">
        <f>SUM(C143:N143)</f>
        <v>150000</v>
      </c>
    </row>
    <row r="144" spans="1:15" x14ac:dyDescent="0.25">
      <c r="A144" s="18" t="s">
        <v>80</v>
      </c>
      <c r="B144" s="51"/>
      <c r="C144" s="19">
        <v>200000</v>
      </c>
      <c r="D144" s="19">
        <v>0</v>
      </c>
      <c r="E144" s="19">
        <v>0</v>
      </c>
      <c r="F144" s="19">
        <v>0</v>
      </c>
      <c r="G144" s="19">
        <v>0</v>
      </c>
      <c r="H144" s="19">
        <v>0</v>
      </c>
      <c r="I144" s="19">
        <v>0</v>
      </c>
      <c r="J144" s="19">
        <v>0</v>
      </c>
      <c r="K144" s="19">
        <v>0</v>
      </c>
      <c r="L144" s="19">
        <v>0</v>
      </c>
      <c r="M144" s="19">
        <v>0</v>
      </c>
      <c r="N144" s="19">
        <v>0</v>
      </c>
      <c r="O144" s="20">
        <f>SUM(C144:N144)</f>
        <v>200000</v>
      </c>
    </row>
    <row r="145" spans="1:15" x14ac:dyDescent="0.25">
      <c r="A145" s="21" t="s">
        <v>150</v>
      </c>
      <c r="B145" s="54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3"/>
    </row>
    <row r="146" spans="1:15" x14ac:dyDescent="0.25">
      <c r="A146" s="21" t="s">
        <v>150</v>
      </c>
      <c r="B146" s="54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3"/>
    </row>
    <row r="147" spans="1:15" x14ac:dyDescent="0.25">
      <c r="A147" s="21" t="s">
        <v>150</v>
      </c>
      <c r="B147" s="54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3"/>
    </row>
    <row r="148" spans="1:15" ht="15.75" x14ac:dyDescent="0.25">
      <c r="A148" s="35" t="s">
        <v>233</v>
      </c>
      <c r="B148" s="59"/>
      <c r="C148" s="36">
        <f>SUM(C141:C147)</f>
        <v>550000</v>
      </c>
      <c r="D148" s="36">
        <f t="shared" ref="D148:O148" si="16">SUM(D142:D147)</f>
        <v>0</v>
      </c>
      <c r="E148" s="36">
        <f t="shared" si="16"/>
        <v>0</v>
      </c>
      <c r="F148" s="36">
        <f t="shared" si="16"/>
        <v>0</v>
      </c>
      <c r="G148" s="36">
        <f t="shared" si="16"/>
        <v>0</v>
      </c>
      <c r="H148" s="36">
        <f t="shared" si="16"/>
        <v>0</v>
      </c>
      <c r="I148" s="36">
        <f t="shared" si="16"/>
        <v>0</v>
      </c>
      <c r="J148" s="36">
        <f t="shared" si="16"/>
        <v>0</v>
      </c>
      <c r="K148" s="36">
        <f t="shared" si="16"/>
        <v>0</v>
      </c>
      <c r="L148" s="36">
        <f t="shared" si="16"/>
        <v>0</v>
      </c>
      <c r="M148" s="36">
        <f t="shared" si="16"/>
        <v>0</v>
      </c>
      <c r="N148" s="36">
        <f t="shared" si="16"/>
        <v>0</v>
      </c>
      <c r="O148" s="36">
        <f t="shared" si="16"/>
        <v>450000</v>
      </c>
    </row>
    <row r="149" spans="1:15" x14ac:dyDescent="0.25">
      <c r="A149" s="16" t="s">
        <v>213</v>
      </c>
      <c r="B149" s="55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</row>
    <row r="150" spans="1:15" x14ac:dyDescent="0.25">
      <c r="A150" s="18" t="s">
        <v>82</v>
      </c>
      <c r="B150" s="51"/>
      <c r="C150" s="19">
        <v>1500000</v>
      </c>
      <c r="D150" s="19">
        <v>0</v>
      </c>
      <c r="E150" s="19">
        <v>0</v>
      </c>
      <c r="F150" s="19">
        <v>0</v>
      </c>
      <c r="G150" s="19">
        <v>0</v>
      </c>
      <c r="H150" s="19">
        <v>0</v>
      </c>
      <c r="I150" s="19">
        <v>0</v>
      </c>
      <c r="J150" s="19">
        <v>0</v>
      </c>
      <c r="K150" s="19">
        <v>0</v>
      </c>
      <c r="L150" s="19">
        <v>0</v>
      </c>
      <c r="M150" s="19">
        <v>0</v>
      </c>
      <c r="N150" s="19">
        <v>0</v>
      </c>
      <c r="O150" s="24">
        <f>SUM(C150:N150)</f>
        <v>1500000</v>
      </c>
    </row>
    <row r="151" spans="1:15" x14ac:dyDescent="0.25">
      <c r="A151" s="18" t="s">
        <v>176</v>
      </c>
      <c r="B151" s="51"/>
      <c r="C151" s="19">
        <v>800000</v>
      </c>
      <c r="D151" s="19">
        <v>0</v>
      </c>
      <c r="E151" s="19">
        <v>0</v>
      </c>
      <c r="F151" s="19">
        <v>0</v>
      </c>
      <c r="G151" s="19">
        <v>0</v>
      </c>
      <c r="H151" s="19">
        <v>0</v>
      </c>
      <c r="I151" s="19">
        <v>0</v>
      </c>
      <c r="J151" s="19">
        <v>0</v>
      </c>
      <c r="K151" s="19">
        <v>0</v>
      </c>
      <c r="L151" s="19">
        <v>0</v>
      </c>
      <c r="M151" s="19">
        <v>0</v>
      </c>
      <c r="N151" s="19">
        <v>0</v>
      </c>
      <c r="O151" s="24">
        <f>SUM(C151:N151)</f>
        <v>800000</v>
      </c>
    </row>
    <row r="152" spans="1:15" x14ac:dyDescent="0.25">
      <c r="A152" s="18" t="s">
        <v>217</v>
      </c>
      <c r="B152" s="51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24"/>
    </row>
    <row r="153" spans="1:15" x14ac:dyDescent="0.25">
      <c r="A153" s="18" t="s">
        <v>214</v>
      </c>
      <c r="B153" s="51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24"/>
    </row>
    <row r="154" spans="1:15" x14ac:dyDescent="0.25">
      <c r="A154" s="21" t="s">
        <v>150</v>
      </c>
      <c r="B154" s="54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3"/>
    </row>
    <row r="155" spans="1:15" x14ac:dyDescent="0.25">
      <c r="A155" s="21" t="s">
        <v>150</v>
      </c>
      <c r="B155" s="54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3"/>
    </row>
    <row r="156" spans="1:15" x14ac:dyDescent="0.25">
      <c r="A156" s="21" t="s">
        <v>150</v>
      </c>
      <c r="B156" s="54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3"/>
    </row>
    <row r="157" spans="1:15" ht="15.75" x14ac:dyDescent="0.25">
      <c r="A157" s="35" t="s">
        <v>234</v>
      </c>
      <c r="B157" s="59"/>
      <c r="C157" s="36">
        <f>SUM(C150:C156)</f>
        <v>2300000</v>
      </c>
      <c r="D157" s="36">
        <f t="shared" ref="D157:O157" si="17">SUM(D151:D156)</f>
        <v>0</v>
      </c>
      <c r="E157" s="36">
        <f t="shared" si="17"/>
        <v>0</v>
      </c>
      <c r="F157" s="36">
        <f t="shared" si="17"/>
        <v>0</v>
      </c>
      <c r="G157" s="36">
        <f t="shared" si="17"/>
        <v>0</v>
      </c>
      <c r="H157" s="36">
        <f t="shared" si="17"/>
        <v>0</v>
      </c>
      <c r="I157" s="36">
        <f t="shared" si="17"/>
        <v>0</v>
      </c>
      <c r="J157" s="36">
        <f t="shared" si="17"/>
        <v>0</v>
      </c>
      <c r="K157" s="36">
        <f t="shared" si="17"/>
        <v>0</v>
      </c>
      <c r="L157" s="36">
        <f t="shared" si="17"/>
        <v>0</v>
      </c>
      <c r="M157" s="36">
        <f t="shared" si="17"/>
        <v>0</v>
      </c>
      <c r="N157" s="36">
        <f t="shared" si="17"/>
        <v>0</v>
      </c>
      <c r="O157" s="36">
        <f t="shared" si="17"/>
        <v>800000</v>
      </c>
    </row>
    <row r="158" spans="1:15" x14ac:dyDescent="0.25">
      <c r="A158" s="16" t="s">
        <v>177</v>
      </c>
      <c r="B158" s="55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</row>
    <row r="159" spans="1:15" x14ac:dyDescent="0.25">
      <c r="A159" s="18" t="s">
        <v>221</v>
      </c>
      <c r="B159" s="51"/>
      <c r="C159" s="19">
        <v>0</v>
      </c>
      <c r="D159" s="19">
        <v>0</v>
      </c>
      <c r="E159" s="19">
        <v>0</v>
      </c>
      <c r="F159" s="19">
        <v>0</v>
      </c>
      <c r="G159" s="19">
        <v>0</v>
      </c>
      <c r="H159" s="19">
        <v>0</v>
      </c>
      <c r="I159" s="19">
        <v>0</v>
      </c>
      <c r="J159" s="19">
        <v>0</v>
      </c>
      <c r="K159" s="19">
        <v>0</v>
      </c>
      <c r="L159" s="19">
        <v>0</v>
      </c>
      <c r="M159" s="19">
        <v>0</v>
      </c>
      <c r="N159" s="19">
        <v>0</v>
      </c>
      <c r="O159" s="24">
        <f t="shared" ref="O159:O164" si="18">SUM(C159:N159)</f>
        <v>0</v>
      </c>
    </row>
    <row r="160" spans="1:15" x14ac:dyDescent="0.25">
      <c r="A160" s="18" t="s">
        <v>222</v>
      </c>
      <c r="B160" s="51"/>
      <c r="C160" s="19">
        <v>0</v>
      </c>
      <c r="D160" s="19">
        <v>0</v>
      </c>
      <c r="E160" s="19">
        <v>0</v>
      </c>
      <c r="F160" s="19">
        <v>0</v>
      </c>
      <c r="G160" s="19">
        <v>0</v>
      </c>
      <c r="H160" s="19">
        <v>0</v>
      </c>
      <c r="I160" s="19">
        <v>0</v>
      </c>
      <c r="J160" s="19">
        <v>0</v>
      </c>
      <c r="K160" s="19">
        <v>0</v>
      </c>
      <c r="L160" s="19">
        <v>0</v>
      </c>
      <c r="M160" s="19">
        <v>0</v>
      </c>
      <c r="N160" s="19">
        <v>0</v>
      </c>
      <c r="O160" s="24">
        <f t="shared" si="18"/>
        <v>0</v>
      </c>
    </row>
    <row r="161" spans="1:15" x14ac:dyDescent="0.25">
      <c r="A161" s="18" t="s">
        <v>223</v>
      </c>
      <c r="B161" s="51"/>
      <c r="C161" s="19">
        <v>0</v>
      </c>
      <c r="D161" s="19">
        <v>0</v>
      </c>
      <c r="E161" s="19">
        <v>0</v>
      </c>
      <c r="F161" s="19">
        <v>0</v>
      </c>
      <c r="G161" s="19">
        <v>0</v>
      </c>
      <c r="H161" s="19">
        <v>0</v>
      </c>
      <c r="I161" s="19">
        <v>0</v>
      </c>
      <c r="J161" s="19">
        <v>0</v>
      </c>
      <c r="K161" s="19">
        <v>0</v>
      </c>
      <c r="L161" s="19">
        <v>0</v>
      </c>
      <c r="M161" s="19">
        <v>0</v>
      </c>
      <c r="N161" s="19">
        <v>0</v>
      </c>
      <c r="O161" s="24">
        <f t="shared" si="18"/>
        <v>0</v>
      </c>
    </row>
    <row r="162" spans="1:15" x14ac:dyDescent="0.25">
      <c r="A162" s="18" t="s">
        <v>224</v>
      </c>
      <c r="B162" s="51"/>
      <c r="C162" s="19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24">
        <f t="shared" si="18"/>
        <v>0</v>
      </c>
    </row>
    <row r="163" spans="1:15" x14ac:dyDescent="0.25">
      <c r="A163" s="18" t="s">
        <v>225</v>
      </c>
      <c r="B163" s="51"/>
      <c r="C163" s="19">
        <v>0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24">
        <f t="shared" si="18"/>
        <v>0</v>
      </c>
    </row>
    <row r="164" spans="1:15" x14ac:dyDescent="0.25">
      <c r="A164" s="18" t="s">
        <v>226</v>
      </c>
      <c r="B164" s="51"/>
      <c r="C164" s="19">
        <v>0</v>
      </c>
      <c r="D164" s="19">
        <v>0</v>
      </c>
      <c r="E164" s="19">
        <v>0</v>
      </c>
      <c r="F164" s="19">
        <v>0</v>
      </c>
      <c r="G164" s="19">
        <v>0</v>
      </c>
      <c r="H164" s="19">
        <v>0</v>
      </c>
      <c r="I164" s="19">
        <v>0</v>
      </c>
      <c r="J164" s="19">
        <v>0</v>
      </c>
      <c r="K164" s="19">
        <v>0</v>
      </c>
      <c r="L164" s="19">
        <v>0</v>
      </c>
      <c r="M164" s="19">
        <v>0</v>
      </c>
      <c r="N164" s="19">
        <v>0</v>
      </c>
      <c r="O164" s="24">
        <f t="shared" si="18"/>
        <v>0</v>
      </c>
    </row>
    <row r="165" spans="1:15" x14ac:dyDescent="0.25">
      <c r="A165" s="21" t="s">
        <v>150</v>
      </c>
      <c r="B165" s="54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3"/>
    </row>
    <row r="166" spans="1:15" x14ac:dyDescent="0.25">
      <c r="A166" s="21" t="s">
        <v>150</v>
      </c>
      <c r="B166" s="54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3"/>
    </row>
    <row r="167" spans="1:15" x14ac:dyDescent="0.25">
      <c r="A167" s="21" t="s">
        <v>150</v>
      </c>
      <c r="B167" s="54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3"/>
    </row>
    <row r="168" spans="1:15" x14ac:dyDescent="0.25">
      <c r="A168" s="21" t="s">
        <v>150</v>
      </c>
      <c r="B168" s="54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3"/>
    </row>
    <row r="169" spans="1:15" x14ac:dyDescent="0.25">
      <c r="A169" s="21" t="s">
        <v>150</v>
      </c>
      <c r="B169" s="54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3"/>
    </row>
    <row r="170" spans="1:15" x14ac:dyDescent="0.25">
      <c r="A170" s="21" t="s">
        <v>150</v>
      </c>
      <c r="B170" s="54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3"/>
    </row>
    <row r="171" spans="1:15" x14ac:dyDescent="0.25">
      <c r="A171" s="21" t="s">
        <v>150</v>
      </c>
      <c r="B171" s="54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3"/>
    </row>
    <row r="172" spans="1:15" x14ac:dyDescent="0.25">
      <c r="A172" s="21" t="s">
        <v>150</v>
      </c>
      <c r="B172" s="54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3"/>
    </row>
    <row r="173" spans="1:15" ht="15.75" x14ac:dyDescent="0.25">
      <c r="A173" s="35" t="s">
        <v>235</v>
      </c>
      <c r="B173" s="59"/>
      <c r="C173" s="36">
        <f>SUM(C166:C172)</f>
        <v>0</v>
      </c>
      <c r="D173" s="36">
        <f t="shared" ref="D173:O173" si="19">SUM(D167:D172)</f>
        <v>0</v>
      </c>
      <c r="E173" s="36">
        <f t="shared" si="19"/>
        <v>0</v>
      </c>
      <c r="F173" s="36">
        <f t="shared" si="19"/>
        <v>0</v>
      </c>
      <c r="G173" s="36">
        <f t="shared" si="19"/>
        <v>0</v>
      </c>
      <c r="H173" s="36">
        <f t="shared" si="19"/>
        <v>0</v>
      </c>
      <c r="I173" s="36">
        <f t="shared" si="19"/>
        <v>0</v>
      </c>
      <c r="J173" s="36">
        <f t="shared" si="19"/>
        <v>0</v>
      </c>
      <c r="K173" s="36">
        <f t="shared" si="19"/>
        <v>0</v>
      </c>
      <c r="L173" s="36">
        <f t="shared" si="19"/>
        <v>0</v>
      </c>
      <c r="M173" s="36">
        <f t="shared" si="19"/>
        <v>0</v>
      </c>
      <c r="N173" s="36">
        <f t="shared" si="19"/>
        <v>0</v>
      </c>
      <c r="O173" s="36">
        <f t="shared" si="19"/>
        <v>0</v>
      </c>
    </row>
    <row r="174" spans="1:15" x14ac:dyDescent="0.25">
      <c r="A174" s="16" t="s">
        <v>178</v>
      </c>
      <c r="B174" s="55"/>
      <c r="C174" s="17">
        <v>300000</v>
      </c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</row>
    <row r="175" spans="1:15" x14ac:dyDescent="0.25">
      <c r="A175" s="18" t="s">
        <v>218</v>
      </c>
      <c r="B175" s="51"/>
      <c r="C175" s="19">
        <v>150000</v>
      </c>
      <c r="D175" s="19">
        <v>0</v>
      </c>
      <c r="E175" s="19">
        <v>0</v>
      </c>
      <c r="F175" s="19">
        <v>0</v>
      </c>
      <c r="G175" s="19">
        <v>0</v>
      </c>
      <c r="H175" s="19">
        <v>0</v>
      </c>
      <c r="I175" s="19">
        <v>0</v>
      </c>
      <c r="J175" s="19">
        <v>0</v>
      </c>
      <c r="K175" s="19">
        <v>0</v>
      </c>
      <c r="L175" s="19">
        <v>0</v>
      </c>
      <c r="M175" s="19">
        <v>0</v>
      </c>
      <c r="N175" s="19">
        <v>0</v>
      </c>
      <c r="O175" s="24">
        <f>SUM(C175:N175)</f>
        <v>150000</v>
      </c>
    </row>
    <row r="176" spans="1:15" x14ac:dyDescent="0.25">
      <c r="A176" s="18" t="s">
        <v>227</v>
      </c>
      <c r="B176" s="51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24"/>
    </row>
    <row r="177" spans="1:15" x14ac:dyDescent="0.25">
      <c r="A177" s="18" t="s">
        <v>219</v>
      </c>
      <c r="B177" s="51"/>
      <c r="C177" s="19">
        <v>0</v>
      </c>
      <c r="D177" s="19">
        <v>0</v>
      </c>
      <c r="E177" s="19">
        <v>0</v>
      </c>
      <c r="F177" s="19">
        <v>0</v>
      </c>
      <c r="G177" s="19">
        <v>0</v>
      </c>
      <c r="H177" s="19">
        <v>0</v>
      </c>
      <c r="I177" s="19">
        <v>0</v>
      </c>
      <c r="J177" s="19">
        <v>0</v>
      </c>
      <c r="K177" s="19">
        <v>0</v>
      </c>
      <c r="L177" s="19">
        <v>0</v>
      </c>
      <c r="M177" s="19">
        <v>0</v>
      </c>
      <c r="N177" s="19">
        <v>0</v>
      </c>
      <c r="O177" s="24">
        <f>SUM(C177:N177)</f>
        <v>0</v>
      </c>
    </row>
    <row r="178" spans="1:15" x14ac:dyDescent="0.25">
      <c r="A178" s="18" t="s">
        <v>228</v>
      </c>
      <c r="B178" s="51"/>
      <c r="C178" s="19">
        <v>200000</v>
      </c>
      <c r="D178" s="19">
        <v>0</v>
      </c>
      <c r="E178" s="19">
        <v>0</v>
      </c>
      <c r="F178" s="19">
        <v>0</v>
      </c>
      <c r="G178" s="19">
        <v>0</v>
      </c>
      <c r="H178" s="19">
        <v>0</v>
      </c>
      <c r="I178" s="19">
        <v>0</v>
      </c>
      <c r="J178" s="19">
        <v>0</v>
      </c>
      <c r="K178" s="19">
        <v>0</v>
      </c>
      <c r="L178" s="19">
        <v>0</v>
      </c>
      <c r="M178" s="19">
        <v>0</v>
      </c>
      <c r="N178" s="19">
        <v>0</v>
      </c>
      <c r="O178" s="24">
        <f>SUM(C178:N178)</f>
        <v>200000</v>
      </c>
    </row>
    <row r="179" spans="1:15" x14ac:dyDescent="0.25">
      <c r="A179" s="18" t="s">
        <v>229</v>
      </c>
      <c r="B179" s="51"/>
      <c r="C179" s="19">
        <v>0</v>
      </c>
      <c r="D179" s="19">
        <v>0</v>
      </c>
      <c r="E179" s="19">
        <v>0</v>
      </c>
      <c r="F179" s="19">
        <v>0</v>
      </c>
      <c r="G179" s="19">
        <v>0</v>
      </c>
      <c r="H179" s="19">
        <v>0</v>
      </c>
      <c r="I179" s="19">
        <v>0</v>
      </c>
      <c r="J179" s="19">
        <v>0</v>
      </c>
      <c r="K179" s="19">
        <v>0</v>
      </c>
      <c r="L179" s="19">
        <v>0</v>
      </c>
      <c r="M179" s="19">
        <v>0</v>
      </c>
      <c r="N179" s="19">
        <v>0</v>
      </c>
      <c r="O179" s="24">
        <f>SUM(C179:N179)</f>
        <v>0</v>
      </c>
    </row>
    <row r="180" spans="1:15" x14ac:dyDescent="0.25">
      <c r="A180" s="21" t="s">
        <v>150</v>
      </c>
      <c r="B180" s="54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3"/>
    </row>
    <row r="181" spans="1:15" x14ac:dyDescent="0.25">
      <c r="A181" s="21" t="s">
        <v>150</v>
      </c>
      <c r="B181" s="54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3"/>
    </row>
    <row r="182" spans="1:15" x14ac:dyDescent="0.25">
      <c r="A182" s="21" t="s">
        <v>150</v>
      </c>
      <c r="B182" s="54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3"/>
    </row>
    <row r="183" spans="1:15" ht="15.75" x14ac:dyDescent="0.25">
      <c r="A183" s="35" t="s">
        <v>236</v>
      </c>
      <c r="B183" s="59"/>
      <c r="C183" s="36">
        <f>SUM(C170:C176)</f>
        <v>450000</v>
      </c>
      <c r="D183" s="36">
        <f t="shared" ref="D183:O183" si="20">SUM(D171:D176)</f>
        <v>0</v>
      </c>
      <c r="E183" s="36">
        <f t="shared" si="20"/>
        <v>0</v>
      </c>
      <c r="F183" s="36">
        <f t="shared" si="20"/>
        <v>0</v>
      </c>
      <c r="G183" s="36">
        <f t="shared" si="20"/>
        <v>0</v>
      </c>
      <c r="H183" s="36">
        <f t="shared" si="20"/>
        <v>0</v>
      </c>
      <c r="I183" s="36">
        <f t="shared" si="20"/>
        <v>0</v>
      </c>
      <c r="J183" s="36">
        <f t="shared" si="20"/>
        <v>0</v>
      </c>
      <c r="K183" s="36">
        <f t="shared" si="20"/>
        <v>0</v>
      </c>
      <c r="L183" s="36">
        <f t="shared" si="20"/>
        <v>0</v>
      </c>
      <c r="M183" s="36">
        <f t="shared" si="20"/>
        <v>0</v>
      </c>
      <c r="N183" s="36">
        <f t="shared" si="20"/>
        <v>0</v>
      </c>
      <c r="O183" s="36">
        <f t="shared" si="20"/>
        <v>150000</v>
      </c>
    </row>
    <row r="184" spans="1:15" x14ac:dyDescent="0.25">
      <c r="A184" s="68" t="s">
        <v>253</v>
      </c>
      <c r="B184" s="69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</row>
    <row r="185" spans="1:15" x14ac:dyDescent="0.25">
      <c r="A185" s="136" t="s">
        <v>266</v>
      </c>
      <c r="B185" s="137">
        <v>7.0000000000000007E-2</v>
      </c>
      <c r="C185" s="135"/>
      <c r="D185" s="135"/>
      <c r="E185" s="135"/>
      <c r="F185" s="135"/>
      <c r="G185" s="135"/>
      <c r="H185" s="135"/>
      <c r="I185" s="135"/>
      <c r="J185" s="135"/>
      <c r="K185" s="135"/>
      <c r="L185" s="135"/>
      <c r="M185" s="135"/>
      <c r="N185" s="135"/>
      <c r="O185" s="135"/>
    </row>
    <row r="186" spans="1:15" x14ac:dyDescent="0.25">
      <c r="A186" s="18" t="s">
        <v>258</v>
      </c>
      <c r="B186" s="134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20"/>
    </row>
    <row r="187" spans="1:15" x14ac:dyDescent="0.25">
      <c r="A187" s="18" t="s">
        <v>254</v>
      </c>
      <c r="B187" s="51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20"/>
    </row>
    <row r="188" spans="1:15" x14ac:dyDescent="0.25">
      <c r="A188" s="18" t="s">
        <v>255</v>
      </c>
      <c r="B188" s="51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20"/>
    </row>
    <row r="189" spans="1:15" ht="15.75" x14ac:dyDescent="0.25">
      <c r="A189" s="35" t="s">
        <v>257</v>
      </c>
      <c r="B189" s="59"/>
      <c r="C189" s="36"/>
      <c r="D189" s="36">
        <f t="shared" ref="D189:O189" si="21">SUM(D177:D182)</f>
        <v>0</v>
      </c>
      <c r="E189" s="36">
        <f t="shared" si="21"/>
        <v>0</v>
      </c>
      <c r="F189" s="36">
        <f t="shared" si="21"/>
        <v>0</v>
      </c>
      <c r="G189" s="36">
        <f t="shared" si="21"/>
        <v>0</v>
      </c>
      <c r="H189" s="36">
        <f t="shared" si="21"/>
        <v>0</v>
      </c>
      <c r="I189" s="36">
        <f t="shared" si="21"/>
        <v>0</v>
      </c>
      <c r="J189" s="36">
        <f t="shared" si="21"/>
        <v>0</v>
      </c>
      <c r="K189" s="36">
        <f t="shared" si="21"/>
        <v>0</v>
      </c>
      <c r="L189" s="36">
        <f t="shared" si="21"/>
        <v>0</v>
      </c>
      <c r="M189" s="36">
        <f t="shared" si="21"/>
        <v>0</v>
      </c>
      <c r="N189" s="36">
        <f t="shared" si="21"/>
        <v>0</v>
      </c>
      <c r="O189" s="36">
        <f t="shared" si="21"/>
        <v>200000</v>
      </c>
    </row>
    <row r="190" spans="1:15" ht="18.75" x14ac:dyDescent="0.3">
      <c r="A190" s="40" t="s">
        <v>179</v>
      </c>
      <c r="B190" s="60"/>
      <c r="C190" s="41">
        <f t="shared" ref="C190:O190" si="22">SUM(C122:C179)</f>
        <v>60810000</v>
      </c>
      <c r="D190" s="41">
        <f t="shared" si="22"/>
        <v>0</v>
      </c>
      <c r="E190" s="41">
        <f t="shared" si="22"/>
        <v>0</v>
      </c>
      <c r="F190" s="41">
        <f t="shared" si="22"/>
        <v>0</v>
      </c>
      <c r="G190" s="41">
        <f t="shared" si="22"/>
        <v>0</v>
      </c>
      <c r="H190" s="41">
        <f t="shared" si="22"/>
        <v>0</v>
      </c>
      <c r="I190" s="41">
        <f t="shared" si="22"/>
        <v>0</v>
      </c>
      <c r="J190" s="41">
        <f t="shared" si="22"/>
        <v>0</v>
      </c>
      <c r="K190" s="41">
        <f t="shared" si="22"/>
        <v>0</v>
      </c>
      <c r="L190" s="41">
        <f t="shared" si="22"/>
        <v>0</v>
      </c>
      <c r="M190" s="41">
        <f t="shared" si="22"/>
        <v>0</v>
      </c>
      <c r="N190" s="41">
        <f t="shared" si="22"/>
        <v>0</v>
      </c>
      <c r="O190" s="41">
        <f t="shared" si="22"/>
        <v>55110000</v>
      </c>
    </row>
    <row r="191" spans="1:15" ht="18.75" x14ac:dyDescent="0.3">
      <c r="A191" s="42" t="s">
        <v>180</v>
      </c>
      <c r="B191" s="61"/>
      <c r="C191" s="43">
        <f t="shared" ref="C191:O191" si="23">C120-C190</f>
        <v>-30810000</v>
      </c>
      <c r="D191" s="43">
        <f t="shared" si="23"/>
        <v>0</v>
      </c>
      <c r="E191" s="43">
        <f t="shared" si="23"/>
        <v>0</v>
      </c>
      <c r="F191" s="43">
        <f t="shared" si="23"/>
        <v>0</v>
      </c>
      <c r="G191" s="43">
        <f t="shared" si="23"/>
        <v>0</v>
      </c>
      <c r="H191" s="43">
        <f t="shared" si="23"/>
        <v>0</v>
      </c>
      <c r="I191" s="43">
        <f t="shared" si="23"/>
        <v>0</v>
      </c>
      <c r="J191" s="43">
        <f t="shared" si="23"/>
        <v>0</v>
      </c>
      <c r="K191" s="43">
        <f t="shared" si="23"/>
        <v>0</v>
      </c>
      <c r="L191" s="43">
        <f t="shared" si="23"/>
        <v>0</v>
      </c>
      <c r="M191" s="43">
        <f t="shared" si="23"/>
        <v>0</v>
      </c>
      <c r="N191" s="43">
        <f t="shared" si="23"/>
        <v>0</v>
      </c>
      <c r="O191" s="43">
        <f t="shared" si="23"/>
        <v>-25110000</v>
      </c>
    </row>
    <row r="192" spans="1:15" ht="18.75" x14ac:dyDescent="0.3">
      <c r="A192" s="37"/>
      <c r="B192" s="50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</row>
    <row r="193" spans="1:15" ht="18.75" x14ac:dyDescent="0.3">
      <c r="A193" s="38" t="s">
        <v>237</v>
      </c>
      <c r="B193" s="62"/>
      <c r="C193" s="39">
        <f t="shared" ref="C193:O193" si="24">C109+C191</f>
        <v>-74873999</v>
      </c>
      <c r="D193" s="39">
        <f t="shared" si="24"/>
        <v>-380000</v>
      </c>
      <c r="E193" s="39">
        <f t="shared" si="24"/>
        <v>-375000</v>
      </c>
      <c r="F193" s="39">
        <f t="shared" si="24"/>
        <v>-371000</v>
      </c>
      <c r="G193" s="39">
        <f t="shared" si="24"/>
        <v>-366000</v>
      </c>
      <c r="H193" s="39">
        <f t="shared" si="24"/>
        <v>-362000</v>
      </c>
      <c r="I193" s="39">
        <f t="shared" si="24"/>
        <v>-357000</v>
      </c>
      <c r="J193" s="39">
        <f t="shared" si="24"/>
        <v>-353000</v>
      </c>
      <c r="K193" s="39">
        <f t="shared" si="24"/>
        <v>-349000</v>
      </c>
      <c r="L193" s="39">
        <f t="shared" si="24"/>
        <v>-344000</v>
      </c>
      <c r="M193" s="39">
        <f t="shared" si="24"/>
        <v>-340000</v>
      </c>
      <c r="N193" s="39">
        <f t="shared" si="24"/>
        <v>-336000</v>
      </c>
      <c r="O193" s="39">
        <f t="shared" si="24"/>
        <v>-34734000</v>
      </c>
    </row>
  </sheetData>
  <mergeCells count="4">
    <mergeCell ref="A111:O111"/>
    <mergeCell ref="A4:O4"/>
    <mergeCell ref="A1:O1"/>
    <mergeCell ref="A2:O2"/>
  </mergeCells>
  <pageMargins left="0.75" right="0.75" top="1" bottom="1" header="0.5" footer="0.5"/>
  <pageSetup paperSize="9" scale="58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8"/>
  <sheetViews>
    <sheetView workbookViewId="0">
      <selection activeCell="A27" sqref="A27:P27"/>
    </sheetView>
  </sheetViews>
  <sheetFormatPr baseColWidth="10" defaultColWidth="9.140625" defaultRowHeight="15" x14ac:dyDescent="0.25"/>
  <cols>
    <col min="1" max="1" width="28" customWidth="1"/>
    <col min="2" max="2" width="10" customWidth="1"/>
    <col min="3" max="3" width="10.7109375" bestFit="1" customWidth="1"/>
    <col min="4" max="4" width="13" customWidth="1"/>
    <col min="5" max="16" width="10" customWidth="1"/>
  </cols>
  <sheetData>
    <row r="1" spans="1:16" ht="21" x14ac:dyDescent="0.35">
      <c r="A1" s="127" t="s">
        <v>42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 x14ac:dyDescent="0.25">
      <c r="A2" s="5" t="s">
        <v>43</v>
      </c>
    </row>
    <row r="4" spans="1:16" x14ac:dyDescent="0.25">
      <c r="A4" s="6" t="s">
        <v>44</v>
      </c>
      <c r="B4" s="6" t="s">
        <v>45</v>
      </c>
      <c r="C4" s="6" t="s">
        <v>46</v>
      </c>
      <c r="D4" s="6" t="s">
        <v>47</v>
      </c>
      <c r="E4" s="6" t="s">
        <v>28</v>
      </c>
      <c r="F4" s="6" t="s">
        <v>29</v>
      </c>
      <c r="G4" s="6" t="s">
        <v>30</v>
      </c>
      <c r="H4" s="6" t="s">
        <v>31</v>
      </c>
      <c r="I4" s="6" t="s">
        <v>32</v>
      </c>
      <c r="J4" s="6" t="s">
        <v>33</v>
      </c>
      <c r="K4" s="6" t="s">
        <v>34</v>
      </c>
      <c r="L4" s="6" t="s">
        <v>35</v>
      </c>
      <c r="M4" s="6" t="s">
        <v>36</v>
      </c>
      <c r="N4" s="6" t="s">
        <v>37</v>
      </c>
      <c r="O4" s="6" t="s">
        <v>38</v>
      </c>
      <c r="P4" s="6" t="s">
        <v>39</v>
      </c>
    </row>
    <row r="5" spans="1:16" x14ac:dyDescent="0.25">
      <c r="A5" s="45" t="s">
        <v>48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</row>
    <row r="6" spans="1:16" x14ac:dyDescent="0.25">
      <c r="A6" s="7" t="s">
        <v>49</v>
      </c>
      <c r="B6" s="7" t="s">
        <v>50</v>
      </c>
      <c r="C6" s="44">
        <v>30</v>
      </c>
      <c r="D6" s="8">
        <v>1800000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x14ac:dyDescent="0.25">
      <c r="A7" s="7" t="s">
        <v>51</v>
      </c>
      <c r="B7" s="7" t="s">
        <v>50</v>
      </c>
      <c r="C7" s="44">
        <v>46022</v>
      </c>
      <c r="D7" s="8">
        <v>1200000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x14ac:dyDescent="0.25">
      <c r="A8" s="7" t="s">
        <v>52</v>
      </c>
      <c r="B8" s="7" t="s">
        <v>50</v>
      </c>
      <c r="C8" s="44">
        <v>10</v>
      </c>
      <c r="D8" s="8">
        <v>1600000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 x14ac:dyDescent="0.25">
      <c r="A9" s="7" t="s">
        <v>53</v>
      </c>
      <c r="B9" s="7" t="s">
        <v>50</v>
      </c>
      <c r="C9" s="44">
        <v>11</v>
      </c>
      <c r="D9" s="8">
        <v>400000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 x14ac:dyDescent="0.25">
      <c r="A10" s="7" t="s">
        <v>54</v>
      </c>
      <c r="B10" s="7" t="s">
        <v>55</v>
      </c>
      <c r="C10" s="44">
        <v>12</v>
      </c>
      <c r="D10" s="8">
        <v>400000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x14ac:dyDescent="0.25">
      <c r="A11" s="7" t="s">
        <v>56</v>
      </c>
      <c r="B11" s="7" t="s">
        <v>50</v>
      </c>
      <c r="C11" s="44">
        <v>13</v>
      </c>
      <c r="D11" s="8">
        <v>300000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6" x14ac:dyDescent="0.25">
      <c r="A12" s="7" t="s">
        <v>57</v>
      </c>
      <c r="B12" s="7" t="s">
        <v>50</v>
      </c>
      <c r="C12" s="44">
        <v>14</v>
      </c>
      <c r="D12" s="8">
        <v>200000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 x14ac:dyDescent="0.25">
      <c r="A13" s="7" t="s">
        <v>58</v>
      </c>
      <c r="B13" s="7" t="s">
        <v>50</v>
      </c>
      <c r="C13" s="44">
        <v>15</v>
      </c>
      <c r="D13" s="8">
        <v>150000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 x14ac:dyDescent="0.25">
      <c r="A14" s="125" t="s">
        <v>59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</row>
    <row r="15" spans="1:16" x14ac:dyDescent="0.25">
      <c r="A15" s="7" t="s">
        <v>60</v>
      </c>
      <c r="B15" s="7" t="s">
        <v>50</v>
      </c>
      <c r="C15" s="44">
        <v>15</v>
      </c>
      <c r="D15" s="8">
        <v>2000000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6" x14ac:dyDescent="0.25">
      <c r="A16" s="7" t="s">
        <v>61</v>
      </c>
      <c r="B16" s="7" t="s">
        <v>50</v>
      </c>
      <c r="C16" s="44">
        <v>16</v>
      </c>
      <c r="D16" s="8">
        <v>800000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 x14ac:dyDescent="0.25">
      <c r="A17" s="7" t="s">
        <v>62</v>
      </c>
      <c r="B17" s="7" t="s">
        <v>50</v>
      </c>
      <c r="C17" s="44">
        <v>17</v>
      </c>
      <c r="D17" s="8">
        <v>850000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 x14ac:dyDescent="0.25">
      <c r="A18" s="7" t="s">
        <v>63</v>
      </c>
      <c r="B18" s="7" t="s">
        <v>50</v>
      </c>
      <c r="C18" s="44">
        <v>18</v>
      </c>
      <c r="D18" s="8">
        <v>650000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 x14ac:dyDescent="0.25">
      <c r="A19" s="125" t="s">
        <v>64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</row>
    <row r="20" spans="1:16" x14ac:dyDescent="0.25">
      <c r="A20" s="7" t="s">
        <v>65</v>
      </c>
      <c r="B20" s="7" t="s">
        <v>50</v>
      </c>
      <c r="C20" s="44">
        <v>5</v>
      </c>
      <c r="D20" s="8">
        <v>250000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 x14ac:dyDescent="0.25">
      <c r="A21" s="7" t="s">
        <v>66</v>
      </c>
      <c r="B21" s="7" t="s">
        <v>50</v>
      </c>
      <c r="C21" s="44">
        <v>6</v>
      </c>
      <c r="D21" s="8">
        <v>320000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3" spans="1:16" x14ac:dyDescent="0.25">
      <c r="A23" s="123" t="s">
        <v>67</v>
      </c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</row>
    <row r="24" spans="1:16" x14ac:dyDescent="0.25">
      <c r="A24" s="7" t="s">
        <v>68</v>
      </c>
      <c r="B24" s="7" t="s">
        <v>50</v>
      </c>
      <c r="C24" s="44">
        <v>5</v>
      </c>
      <c r="D24" s="8">
        <v>3000000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 x14ac:dyDescent="0.25">
      <c r="A25" s="7" t="s">
        <v>69</v>
      </c>
      <c r="B25" s="7" t="s">
        <v>50</v>
      </c>
      <c r="C25" s="44">
        <v>5</v>
      </c>
      <c r="D25" s="8">
        <v>1500000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 x14ac:dyDescent="0.25">
      <c r="A26" s="7" t="s">
        <v>70</v>
      </c>
      <c r="B26" s="7" t="s">
        <v>50</v>
      </c>
      <c r="C26" s="44">
        <v>30</v>
      </c>
      <c r="D26" s="8">
        <v>500000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 x14ac:dyDescent="0.25">
      <c r="A27" s="123" t="s">
        <v>71</v>
      </c>
      <c r="B27" s="124"/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</row>
    <row r="28" spans="1:16" x14ac:dyDescent="0.25">
      <c r="A28" s="7" t="s">
        <v>72</v>
      </c>
      <c r="B28" s="7" t="s">
        <v>50</v>
      </c>
      <c r="C28" s="44">
        <v>30</v>
      </c>
      <c r="D28" s="8">
        <v>2000000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 x14ac:dyDescent="0.25">
      <c r="A29" s="7" t="s">
        <v>73</v>
      </c>
      <c r="B29" s="7" t="s">
        <v>50</v>
      </c>
      <c r="C29" s="44">
        <v>31</v>
      </c>
      <c r="D29" s="8">
        <v>1800000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 x14ac:dyDescent="0.25">
      <c r="A30" s="7" t="s">
        <v>74</v>
      </c>
      <c r="B30" s="7" t="s">
        <v>50</v>
      </c>
      <c r="C30" s="44">
        <v>32</v>
      </c>
      <c r="D30" s="8">
        <v>500000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 x14ac:dyDescent="0.25">
      <c r="A31" s="7" t="s">
        <v>75</v>
      </c>
      <c r="B31" s="7" t="s">
        <v>50</v>
      </c>
      <c r="C31" s="44">
        <v>33</v>
      </c>
      <c r="D31" s="8">
        <v>1000000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 x14ac:dyDescent="0.25">
      <c r="A32" s="7" t="s">
        <v>76</v>
      </c>
      <c r="B32" s="7" t="s">
        <v>50</v>
      </c>
      <c r="C32" s="44">
        <v>34</v>
      </c>
      <c r="D32" s="8">
        <v>300000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x14ac:dyDescent="0.25">
      <c r="A33" s="123" t="s">
        <v>77</v>
      </c>
      <c r="B33" s="124"/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</row>
    <row r="34" spans="1:16" x14ac:dyDescent="0.25">
      <c r="A34" s="7" t="s">
        <v>78</v>
      </c>
      <c r="B34" s="7" t="s">
        <v>50</v>
      </c>
      <c r="C34" s="44">
        <v>10</v>
      </c>
      <c r="D34" s="8">
        <v>100000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 x14ac:dyDescent="0.25">
      <c r="A35" s="7" t="s">
        <v>79</v>
      </c>
      <c r="B35" s="7" t="s">
        <v>50</v>
      </c>
      <c r="C35" s="44">
        <v>11</v>
      </c>
      <c r="D35" s="8">
        <v>150000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 x14ac:dyDescent="0.25">
      <c r="A36" s="7" t="s">
        <v>80</v>
      </c>
      <c r="B36" s="7" t="s">
        <v>50</v>
      </c>
      <c r="C36" s="44">
        <v>12</v>
      </c>
      <c r="D36" s="8">
        <v>200000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 x14ac:dyDescent="0.25">
      <c r="A37" s="123" t="s">
        <v>81</v>
      </c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</row>
    <row r="38" spans="1:16" x14ac:dyDescent="0.25">
      <c r="A38" s="7" t="s">
        <v>82</v>
      </c>
      <c r="B38" s="7" t="s">
        <v>55</v>
      </c>
      <c r="C38" s="44">
        <v>20</v>
      </c>
      <c r="D38" s="8">
        <v>1400000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</sheetData>
  <mergeCells count="7">
    <mergeCell ref="A37:P37"/>
    <mergeCell ref="A27:P27"/>
    <mergeCell ref="A33:P33"/>
    <mergeCell ref="A19:P19"/>
    <mergeCell ref="A14:P14"/>
    <mergeCell ref="A1:P1"/>
    <mergeCell ref="A23:P23"/>
  </mergeCells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4"/>
  <sheetViews>
    <sheetView workbookViewId="0">
      <selection activeCell="D15" sqref="D15"/>
    </sheetView>
  </sheetViews>
  <sheetFormatPr baseColWidth="10" defaultColWidth="9.140625" defaultRowHeight="15" x14ac:dyDescent="0.25"/>
  <cols>
    <col min="1" max="1" width="12" customWidth="1"/>
    <col min="2" max="2" width="22" customWidth="1"/>
    <col min="3" max="3" width="18" customWidth="1"/>
    <col min="4" max="4" width="28" customWidth="1"/>
    <col min="5" max="6" width="14" customWidth="1"/>
    <col min="7" max="7" width="16" customWidth="1"/>
    <col min="8" max="8" width="18" customWidth="1"/>
  </cols>
  <sheetData>
    <row r="1" spans="1:8" ht="18.75" x14ac:dyDescent="0.3">
      <c r="A1" s="128" t="s">
        <v>93</v>
      </c>
      <c r="B1" s="106"/>
      <c r="C1" s="106"/>
      <c r="D1" s="106"/>
      <c r="E1" s="106"/>
      <c r="F1" s="106"/>
      <c r="G1" s="106"/>
      <c r="H1" s="106"/>
    </row>
    <row r="3" spans="1:8" x14ac:dyDescent="0.25">
      <c r="A3" s="10" t="s">
        <v>94</v>
      </c>
      <c r="B3" s="10" t="s">
        <v>45</v>
      </c>
      <c r="C3" s="10" t="s">
        <v>27</v>
      </c>
      <c r="D3" s="10" t="s">
        <v>95</v>
      </c>
      <c r="E3" s="10" t="s">
        <v>96</v>
      </c>
      <c r="F3" s="10" t="s">
        <v>97</v>
      </c>
      <c r="G3" s="10" t="s">
        <v>98</v>
      </c>
      <c r="H3" s="10" t="s">
        <v>99</v>
      </c>
    </row>
    <row r="4" spans="1:8" x14ac:dyDescent="0.25">
      <c r="A4" s="11"/>
      <c r="B4" s="9"/>
      <c r="C4" s="9"/>
      <c r="D4" s="9"/>
      <c r="E4" s="12"/>
      <c r="F4" s="12"/>
      <c r="G4" s="9"/>
      <c r="H4" s="9"/>
    </row>
    <row r="5" spans="1:8" x14ac:dyDescent="0.25">
      <c r="A5" s="11"/>
      <c r="B5" s="9"/>
      <c r="C5" s="9"/>
      <c r="D5" s="9"/>
      <c r="E5" s="12"/>
      <c r="F5" s="12"/>
      <c r="G5" s="9"/>
      <c r="H5" s="9"/>
    </row>
    <row r="6" spans="1:8" x14ac:dyDescent="0.25">
      <c r="A6" s="11"/>
      <c r="B6" s="9"/>
      <c r="C6" s="9"/>
      <c r="D6" s="9"/>
      <c r="E6" s="12"/>
      <c r="F6" s="12"/>
      <c r="G6" s="9"/>
      <c r="H6" s="9"/>
    </row>
    <row r="7" spans="1:8" x14ac:dyDescent="0.25">
      <c r="A7" s="11"/>
      <c r="B7" s="9"/>
      <c r="C7" s="9"/>
      <c r="D7" s="9"/>
      <c r="E7" s="12"/>
      <c r="F7" s="12"/>
      <c r="G7" s="9"/>
      <c r="H7" s="9"/>
    </row>
    <row r="8" spans="1:8" x14ac:dyDescent="0.25">
      <c r="A8" s="11"/>
      <c r="B8" s="9"/>
      <c r="C8" s="9"/>
      <c r="D8" s="9"/>
      <c r="E8" s="12"/>
      <c r="F8" s="12"/>
      <c r="G8" s="9"/>
      <c r="H8" s="9"/>
    </row>
    <row r="9" spans="1:8" x14ac:dyDescent="0.25">
      <c r="A9" s="11"/>
      <c r="B9" s="9"/>
      <c r="C9" s="9"/>
      <c r="D9" s="9"/>
      <c r="E9" s="12"/>
      <c r="F9" s="12"/>
      <c r="G9" s="9"/>
      <c r="H9" s="9"/>
    </row>
    <row r="10" spans="1:8" x14ac:dyDescent="0.25">
      <c r="A10" s="11"/>
      <c r="B10" s="9"/>
      <c r="C10" s="9"/>
      <c r="D10" s="9"/>
      <c r="E10" s="12"/>
      <c r="F10" s="12"/>
      <c r="G10" s="9"/>
      <c r="H10" s="9"/>
    </row>
    <row r="11" spans="1:8" x14ac:dyDescent="0.25">
      <c r="A11" s="11"/>
      <c r="B11" s="9"/>
      <c r="C11" s="9"/>
      <c r="D11" s="9"/>
      <c r="E11" s="12"/>
      <c r="F11" s="12"/>
      <c r="G11" s="9"/>
      <c r="H11" s="9"/>
    </row>
    <row r="12" spans="1:8" x14ac:dyDescent="0.25">
      <c r="A12" s="11"/>
      <c r="B12" s="9"/>
      <c r="C12" s="9"/>
      <c r="D12" s="9"/>
      <c r="E12" s="12"/>
      <c r="F12" s="12"/>
      <c r="G12" s="9"/>
      <c r="H12" s="9"/>
    </row>
    <row r="13" spans="1:8" x14ac:dyDescent="0.25">
      <c r="A13" s="11"/>
      <c r="B13" s="9"/>
      <c r="C13" s="9"/>
      <c r="D13" s="9"/>
      <c r="E13" s="12"/>
      <c r="F13" s="12"/>
      <c r="G13" s="9"/>
      <c r="H13" s="9"/>
    </row>
    <row r="14" spans="1:8" x14ac:dyDescent="0.25">
      <c r="A14" s="11"/>
      <c r="B14" s="9"/>
      <c r="C14" s="9"/>
      <c r="D14" s="9"/>
      <c r="E14" s="12"/>
      <c r="F14" s="12"/>
      <c r="G14" s="9"/>
      <c r="H14" s="9"/>
    </row>
    <row r="15" spans="1:8" x14ac:dyDescent="0.25">
      <c r="A15" s="11"/>
      <c r="B15" s="9"/>
      <c r="C15" s="9"/>
      <c r="D15" s="9"/>
      <c r="E15" s="12"/>
      <c r="F15" s="12"/>
      <c r="G15" s="9"/>
      <c r="H15" s="9"/>
    </row>
    <row r="16" spans="1:8" x14ac:dyDescent="0.25">
      <c r="A16" s="11"/>
      <c r="B16" s="9"/>
      <c r="C16" s="9"/>
      <c r="D16" s="9"/>
      <c r="E16" s="12"/>
      <c r="F16" s="12"/>
      <c r="G16" s="9"/>
      <c r="H16" s="9"/>
    </row>
    <row r="17" spans="1:8" x14ac:dyDescent="0.25">
      <c r="A17" s="11"/>
      <c r="B17" s="9"/>
      <c r="C17" s="9"/>
      <c r="D17" s="9"/>
      <c r="E17" s="12"/>
      <c r="F17" s="12"/>
      <c r="G17" s="9"/>
      <c r="H17" s="9"/>
    </row>
    <row r="18" spans="1:8" x14ac:dyDescent="0.25">
      <c r="A18" s="11"/>
      <c r="B18" s="9"/>
      <c r="C18" s="9"/>
      <c r="D18" s="9"/>
      <c r="E18" s="12"/>
      <c r="F18" s="12"/>
      <c r="G18" s="9"/>
      <c r="H18" s="9"/>
    </row>
    <row r="19" spans="1:8" x14ac:dyDescent="0.25">
      <c r="A19" s="11"/>
      <c r="B19" s="9"/>
      <c r="C19" s="9"/>
      <c r="D19" s="9"/>
      <c r="E19" s="12"/>
      <c r="F19" s="12"/>
      <c r="G19" s="9"/>
      <c r="H19" s="9"/>
    </row>
    <row r="20" spans="1:8" x14ac:dyDescent="0.25">
      <c r="A20" s="11"/>
      <c r="B20" s="9"/>
      <c r="C20" s="9"/>
      <c r="D20" s="9"/>
      <c r="E20" s="12"/>
      <c r="F20" s="12"/>
      <c r="G20" s="9"/>
      <c r="H20" s="9"/>
    </row>
    <row r="21" spans="1:8" x14ac:dyDescent="0.25">
      <c r="A21" s="11"/>
      <c r="B21" s="9"/>
      <c r="C21" s="9"/>
      <c r="D21" s="9"/>
      <c r="E21" s="12"/>
      <c r="F21" s="12"/>
      <c r="G21" s="9"/>
      <c r="H21" s="9"/>
    </row>
    <row r="22" spans="1:8" x14ac:dyDescent="0.25">
      <c r="A22" s="11"/>
      <c r="B22" s="9"/>
      <c r="C22" s="9"/>
      <c r="D22" s="9"/>
      <c r="E22" s="12"/>
      <c r="F22" s="12"/>
      <c r="G22" s="9"/>
      <c r="H22" s="9"/>
    </row>
    <row r="23" spans="1:8" x14ac:dyDescent="0.25">
      <c r="A23" s="11"/>
      <c r="B23" s="9"/>
      <c r="C23" s="9"/>
      <c r="D23" s="9"/>
      <c r="E23" s="12"/>
      <c r="F23" s="12"/>
      <c r="G23" s="9"/>
      <c r="H23" s="9"/>
    </row>
    <row r="24" spans="1:8" x14ac:dyDescent="0.25">
      <c r="A24" s="11"/>
      <c r="B24" s="9"/>
      <c r="C24" s="9"/>
      <c r="D24" s="9"/>
      <c r="E24" s="12"/>
      <c r="F24" s="12"/>
      <c r="G24" s="9"/>
      <c r="H24" s="9"/>
    </row>
    <row r="25" spans="1:8" x14ac:dyDescent="0.25">
      <c r="A25" s="11"/>
      <c r="B25" s="9"/>
      <c r="C25" s="9"/>
      <c r="D25" s="9"/>
      <c r="E25" s="12"/>
      <c r="F25" s="12"/>
      <c r="G25" s="9"/>
      <c r="H25" s="9"/>
    </row>
    <row r="26" spans="1:8" x14ac:dyDescent="0.25">
      <c r="A26" s="11"/>
      <c r="B26" s="9"/>
      <c r="C26" s="9"/>
      <c r="D26" s="9"/>
      <c r="E26" s="12"/>
      <c r="F26" s="12"/>
      <c r="G26" s="9"/>
      <c r="H26" s="9"/>
    </row>
    <row r="27" spans="1:8" x14ac:dyDescent="0.25">
      <c r="A27" s="11"/>
      <c r="B27" s="9"/>
      <c r="C27" s="9"/>
      <c r="D27" s="9"/>
      <c r="E27" s="12"/>
      <c r="F27" s="12"/>
      <c r="G27" s="9"/>
      <c r="H27" s="9"/>
    </row>
    <row r="28" spans="1:8" x14ac:dyDescent="0.25">
      <c r="A28" s="11"/>
      <c r="B28" s="9"/>
      <c r="C28" s="9"/>
      <c r="D28" s="9"/>
      <c r="E28" s="12"/>
      <c r="F28" s="12"/>
      <c r="G28" s="9"/>
      <c r="H28" s="9"/>
    </row>
    <row r="29" spans="1:8" x14ac:dyDescent="0.25">
      <c r="A29" s="11"/>
      <c r="B29" s="9"/>
      <c r="C29" s="9"/>
      <c r="D29" s="9"/>
      <c r="E29" s="12"/>
      <c r="F29" s="12"/>
      <c r="G29" s="9"/>
      <c r="H29" s="9"/>
    </row>
    <row r="30" spans="1:8" x14ac:dyDescent="0.25">
      <c r="A30" s="11"/>
      <c r="B30" s="9"/>
      <c r="C30" s="9"/>
      <c r="D30" s="9"/>
      <c r="E30" s="12"/>
      <c r="F30" s="12"/>
      <c r="G30" s="9"/>
      <c r="H30" s="9"/>
    </row>
    <row r="31" spans="1:8" x14ac:dyDescent="0.25">
      <c r="A31" s="11"/>
      <c r="B31" s="9"/>
      <c r="C31" s="9"/>
      <c r="D31" s="9"/>
      <c r="E31" s="12"/>
      <c r="F31" s="12"/>
      <c r="G31" s="9"/>
      <c r="H31" s="9"/>
    </row>
    <row r="32" spans="1:8" x14ac:dyDescent="0.25">
      <c r="A32" s="11"/>
      <c r="B32" s="9"/>
      <c r="C32" s="9"/>
      <c r="D32" s="9"/>
      <c r="E32" s="12"/>
      <c r="F32" s="12"/>
      <c r="G32" s="9"/>
      <c r="H32" s="9"/>
    </row>
    <row r="33" spans="1:8" x14ac:dyDescent="0.25">
      <c r="A33" s="11"/>
      <c r="B33" s="9"/>
      <c r="C33" s="9"/>
      <c r="D33" s="9"/>
      <c r="E33" s="12"/>
      <c r="F33" s="12"/>
      <c r="G33" s="9"/>
      <c r="H33" s="9"/>
    </row>
    <row r="34" spans="1:8" x14ac:dyDescent="0.25">
      <c r="A34" s="11"/>
      <c r="B34" s="9"/>
      <c r="C34" s="9"/>
      <c r="D34" s="9"/>
      <c r="E34" s="12"/>
      <c r="F34" s="12"/>
      <c r="G34" s="9"/>
      <c r="H34" s="9"/>
    </row>
    <row r="35" spans="1:8" x14ac:dyDescent="0.25">
      <c r="A35" s="11"/>
      <c r="B35" s="9"/>
      <c r="C35" s="9"/>
      <c r="D35" s="9"/>
      <c r="E35" s="12"/>
      <c r="F35" s="12"/>
      <c r="G35" s="9"/>
      <c r="H35" s="9"/>
    </row>
    <row r="36" spans="1:8" x14ac:dyDescent="0.25">
      <c r="A36" s="11"/>
      <c r="B36" s="9"/>
      <c r="C36" s="9"/>
      <c r="D36" s="9"/>
      <c r="E36" s="12"/>
      <c r="F36" s="12"/>
      <c r="G36" s="9"/>
      <c r="H36" s="9"/>
    </row>
    <row r="37" spans="1:8" x14ac:dyDescent="0.25">
      <c r="A37" s="11"/>
      <c r="B37" s="9"/>
      <c r="C37" s="9"/>
      <c r="D37" s="9"/>
      <c r="E37" s="12"/>
      <c r="F37" s="12"/>
      <c r="G37" s="9"/>
      <c r="H37" s="9"/>
    </row>
    <row r="38" spans="1:8" x14ac:dyDescent="0.25">
      <c r="A38" s="11"/>
      <c r="B38" s="9"/>
      <c r="C38" s="9"/>
      <c r="D38" s="9"/>
      <c r="E38" s="12"/>
      <c r="F38" s="12"/>
      <c r="G38" s="9"/>
      <c r="H38" s="9"/>
    </row>
    <row r="39" spans="1:8" x14ac:dyDescent="0.25">
      <c r="A39" s="11"/>
      <c r="B39" s="9"/>
      <c r="C39" s="9"/>
      <c r="D39" s="9"/>
      <c r="E39" s="12"/>
      <c r="F39" s="12"/>
      <c r="G39" s="9"/>
      <c r="H39" s="9"/>
    </row>
    <row r="40" spans="1:8" x14ac:dyDescent="0.25">
      <c r="A40" s="11"/>
      <c r="B40" s="9"/>
      <c r="C40" s="9"/>
      <c r="D40" s="9"/>
      <c r="E40" s="12"/>
      <c r="F40" s="12"/>
      <c r="G40" s="9"/>
      <c r="H40" s="9"/>
    </row>
    <row r="41" spans="1:8" x14ac:dyDescent="0.25">
      <c r="A41" s="11"/>
      <c r="B41" s="9"/>
      <c r="C41" s="9"/>
      <c r="D41" s="9"/>
      <c r="E41" s="12"/>
      <c r="F41" s="12"/>
      <c r="G41" s="9"/>
      <c r="H41" s="9"/>
    </row>
    <row r="42" spans="1:8" x14ac:dyDescent="0.25">
      <c r="A42" s="11"/>
      <c r="B42" s="9"/>
      <c r="C42" s="9"/>
      <c r="D42" s="9"/>
      <c r="E42" s="12"/>
      <c r="F42" s="12"/>
      <c r="G42" s="9"/>
      <c r="H42" s="9"/>
    </row>
    <row r="43" spans="1:8" x14ac:dyDescent="0.25">
      <c r="A43" s="11"/>
      <c r="B43" s="9"/>
      <c r="C43" s="9"/>
      <c r="D43" s="9"/>
      <c r="E43" s="12"/>
      <c r="F43" s="12"/>
      <c r="G43" s="9"/>
      <c r="H43" s="9"/>
    </row>
    <row r="44" spans="1:8" x14ac:dyDescent="0.25">
      <c r="A44" s="11"/>
      <c r="B44" s="9"/>
      <c r="C44" s="9"/>
      <c r="D44" s="9"/>
      <c r="E44" s="12"/>
      <c r="F44" s="12"/>
      <c r="G44" s="9"/>
      <c r="H44" s="9"/>
    </row>
    <row r="45" spans="1:8" x14ac:dyDescent="0.25">
      <c r="A45" s="11"/>
      <c r="B45" s="9"/>
      <c r="C45" s="9"/>
      <c r="D45" s="9"/>
      <c r="E45" s="12"/>
      <c r="F45" s="12"/>
      <c r="G45" s="9"/>
      <c r="H45" s="9"/>
    </row>
    <row r="46" spans="1:8" x14ac:dyDescent="0.25">
      <c r="A46" s="11"/>
      <c r="B46" s="9"/>
      <c r="C46" s="9"/>
      <c r="D46" s="9"/>
      <c r="E46" s="12"/>
      <c r="F46" s="12"/>
      <c r="G46" s="9"/>
      <c r="H46" s="9"/>
    </row>
    <row r="47" spans="1:8" x14ac:dyDescent="0.25">
      <c r="A47" s="11"/>
      <c r="B47" s="9"/>
      <c r="C47" s="9"/>
      <c r="D47" s="9"/>
      <c r="E47" s="12"/>
      <c r="F47" s="12"/>
      <c r="G47" s="9"/>
      <c r="H47" s="9"/>
    </row>
    <row r="48" spans="1:8" x14ac:dyDescent="0.25">
      <c r="A48" s="11"/>
      <c r="B48" s="9"/>
      <c r="C48" s="9"/>
      <c r="D48" s="9"/>
      <c r="E48" s="12"/>
      <c r="F48" s="12"/>
      <c r="G48" s="9"/>
      <c r="H48" s="9"/>
    </row>
    <row r="49" spans="1:8" x14ac:dyDescent="0.25">
      <c r="A49" s="11"/>
      <c r="B49" s="9"/>
      <c r="C49" s="9"/>
      <c r="D49" s="9"/>
      <c r="E49" s="12"/>
      <c r="F49" s="12"/>
      <c r="G49" s="9"/>
      <c r="H49" s="9"/>
    </row>
    <row r="50" spans="1:8" x14ac:dyDescent="0.25">
      <c r="A50" s="11"/>
      <c r="B50" s="9"/>
      <c r="C50" s="9"/>
      <c r="D50" s="9"/>
      <c r="E50" s="12"/>
      <c r="F50" s="12"/>
      <c r="G50" s="9"/>
      <c r="H50" s="9"/>
    </row>
    <row r="51" spans="1:8" x14ac:dyDescent="0.25">
      <c r="A51" s="11"/>
      <c r="B51" s="9"/>
      <c r="C51" s="9"/>
      <c r="D51" s="9"/>
      <c r="E51" s="12"/>
      <c r="F51" s="12"/>
      <c r="G51" s="9"/>
      <c r="H51" s="9"/>
    </row>
    <row r="52" spans="1:8" x14ac:dyDescent="0.25">
      <c r="A52" s="11"/>
      <c r="B52" s="9"/>
      <c r="C52" s="9"/>
      <c r="D52" s="9"/>
      <c r="E52" s="12"/>
      <c r="F52" s="12"/>
      <c r="G52" s="9"/>
      <c r="H52" s="9"/>
    </row>
    <row r="53" spans="1:8" x14ac:dyDescent="0.25">
      <c r="A53" s="11"/>
      <c r="B53" s="9"/>
      <c r="C53" s="9"/>
      <c r="D53" s="9"/>
      <c r="E53" s="12"/>
      <c r="F53" s="12"/>
      <c r="G53" s="9"/>
      <c r="H53" s="9"/>
    </row>
    <row r="54" spans="1:8" x14ac:dyDescent="0.25">
      <c r="A54" s="11"/>
      <c r="B54" s="9"/>
      <c r="C54" s="9"/>
      <c r="D54" s="9"/>
      <c r="E54" s="12"/>
      <c r="F54" s="12"/>
      <c r="G54" s="9"/>
      <c r="H54" s="9"/>
    </row>
    <row r="55" spans="1:8" x14ac:dyDescent="0.25">
      <c r="A55" s="11"/>
      <c r="B55" s="9"/>
      <c r="C55" s="9"/>
      <c r="D55" s="9"/>
      <c r="E55" s="12"/>
      <c r="F55" s="12"/>
      <c r="G55" s="9"/>
      <c r="H55" s="9"/>
    </row>
    <row r="56" spans="1:8" x14ac:dyDescent="0.25">
      <c r="A56" s="11"/>
      <c r="B56" s="9"/>
      <c r="C56" s="9"/>
      <c r="D56" s="9"/>
      <c r="E56" s="12"/>
      <c r="F56" s="12"/>
      <c r="G56" s="9"/>
      <c r="H56" s="9"/>
    </row>
    <row r="57" spans="1:8" x14ac:dyDescent="0.25">
      <c r="A57" s="11"/>
      <c r="B57" s="9"/>
      <c r="C57" s="9"/>
      <c r="D57" s="9"/>
      <c r="E57" s="12"/>
      <c r="F57" s="12"/>
      <c r="G57" s="9"/>
      <c r="H57" s="9"/>
    </row>
    <row r="58" spans="1:8" x14ac:dyDescent="0.25">
      <c r="A58" s="11"/>
      <c r="B58" s="9"/>
      <c r="C58" s="9"/>
      <c r="D58" s="9"/>
      <c r="E58" s="12"/>
      <c r="F58" s="12"/>
      <c r="G58" s="9"/>
      <c r="H58" s="9"/>
    </row>
    <row r="59" spans="1:8" x14ac:dyDescent="0.25">
      <c r="A59" s="11"/>
      <c r="B59" s="9"/>
      <c r="C59" s="9"/>
      <c r="D59" s="9"/>
      <c r="E59" s="12"/>
      <c r="F59" s="12"/>
      <c r="G59" s="9"/>
      <c r="H59" s="9"/>
    </row>
    <row r="60" spans="1:8" x14ac:dyDescent="0.25">
      <c r="A60" s="11"/>
      <c r="B60" s="9"/>
      <c r="C60" s="9"/>
      <c r="D60" s="9"/>
      <c r="E60" s="12"/>
      <c r="F60" s="12"/>
      <c r="G60" s="9"/>
      <c r="H60" s="9"/>
    </row>
    <row r="61" spans="1:8" x14ac:dyDescent="0.25">
      <c r="A61" s="11"/>
      <c r="B61" s="9"/>
      <c r="C61" s="9"/>
      <c r="D61" s="9"/>
      <c r="E61" s="12"/>
      <c r="F61" s="12"/>
      <c r="G61" s="9"/>
      <c r="H61" s="9"/>
    </row>
    <row r="62" spans="1:8" x14ac:dyDescent="0.25">
      <c r="A62" s="11"/>
      <c r="B62" s="9"/>
      <c r="C62" s="9"/>
      <c r="D62" s="9"/>
      <c r="E62" s="12"/>
      <c r="F62" s="12"/>
      <c r="G62" s="9"/>
      <c r="H62" s="9"/>
    </row>
    <row r="63" spans="1:8" x14ac:dyDescent="0.25">
      <c r="A63" s="11"/>
      <c r="B63" s="9"/>
      <c r="C63" s="9"/>
      <c r="D63" s="9"/>
      <c r="E63" s="12"/>
      <c r="F63" s="12"/>
      <c r="G63" s="9"/>
      <c r="H63" s="9"/>
    </row>
    <row r="64" spans="1:8" x14ac:dyDescent="0.25">
      <c r="A64" s="11"/>
      <c r="B64" s="9"/>
      <c r="C64" s="9"/>
      <c r="D64" s="9"/>
      <c r="E64" s="12"/>
      <c r="F64" s="12"/>
      <c r="G64" s="9"/>
      <c r="H64" s="9"/>
    </row>
    <row r="65" spans="1:8" x14ac:dyDescent="0.25">
      <c r="A65" s="11"/>
      <c r="B65" s="9"/>
      <c r="C65" s="9"/>
      <c r="D65" s="9"/>
      <c r="E65" s="12"/>
      <c r="F65" s="12"/>
      <c r="G65" s="9"/>
      <c r="H65" s="9"/>
    </row>
    <row r="66" spans="1:8" x14ac:dyDescent="0.25">
      <c r="A66" s="11"/>
      <c r="B66" s="9"/>
      <c r="C66" s="9"/>
      <c r="D66" s="9"/>
      <c r="E66" s="12"/>
      <c r="F66" s="12"/>
      <c r="G66" s="9"/>
      <c r="H66" s="9"/>
    </row>
    <row r="67" spans="1:8" x14ac:dyDescent="0.25">
      <c r="A67" s="11"/>
      <c r="B67" s="9"/>
      <c r="C67" s="9"/>
      <c r="D67" s="9"/>
      <c r="E67" s="12"/>
      <c r="F67" s="12"/>
      <c r="G67" s="9"/>
      <c r="H67" s="9"/>
    </row>
    <row r="68" spans="1:8" x14ac:dyDescent="0.25">
      <c r="A68" s="11"/>
      <c r="B68" s="9"/>
      <c r="C68" s="9"/>
      <c r="D68" s="9"/>
      <c r="E68" s="12"/>
      <c r="F68" s="12"/>
      <c r="G68" s="9"/>
      <c r="H68" s="9"/>
    </row>
    <row r="69" spans="1:8" x14ac:dyDescent="0.25">
      <c r="A69" s="11"/>
      <c r="B69" s="9"/>
      <c r="C69" s="9"/>
      <c r="D69" s="9"/>
      <c r="E69" s="12"/>
      <c r="F69" s="12"/>
      <c r="G69" s="9"/>
      <c r="H69" s="9"/>
    </row>
    <row r="70" spans="1:8" x14ac:dyDescent="0.25">
      <c r="A70" s="11"/>
      <c r="B70" s="9"/>
      <c r="C70" s="9"/>
      <c r="D70" s="9"/>
      <c r="E70" s="12"/>
      <c r="F70" s="12"/>
      <c r="G70" s="9"/>
      <c r="H70" s="9"/>
    </row>
    <row r="71" spans="1:8" x14ac:dyDescent="0.25">
      <c r="A71" s="11"/>
      <c r="B71" s="9"/>
      <c r="C71" s="9"/>
      <c r="D71" s="9"/>
      <c r="E71" s="12"/>
      <c r="F71" s="12"/>
      <c r="G71" s="9"/>
      <c r="H71" s="9"/>
    </row>
    <row r="72" spans="1:8" x14ac:dyDescent="0.25">
      <c r="A72" s="11"/>
      <c r="B72" s="9"/>
      <c r="C72" s="9"/>
      <c r="D72" s="9"/>
      <c r="E72" s="12"/>
      <c r="F72" s="12"/>
      <c r="G72" s="9"/>
      <c r="H72" s="9"/>
    </row>
    <row r="73" spans="1:8" x14ac:dyDescent="0.25">
      <c r="A73" s="11"/>
      <c r="B73" s="9"/>
      <c r="C73" s="9"/>
      <c r="D73" s="9"/>
      <c r="E73" s="12"/>
      <c r="F73" s="12"/>
      <c r="G73" s="9"/>
      <c r="H73" s="9"/>
    </row>
    <row r="74" spans="1:8" x14ac:dyDescent="0.25">
      <c r="A74" s="11"/>
      <c r="B74" s="9"/>
      <c r="C74" s="9"/>
      <c r="D74" s="9"/>
      <c r="E74" s="12"/>
      <c r="F74" s="12"/>
      <c r="G74" s="9"/>
      <c r="H74" s="9"/>
    </row>
    <row r="75" spans="1:8" x14ac:dyDescent="0.25">
      <c r="A75" s="11"/>
      <c r="B75" s="9"/>
      <c r="C75" s="9"/>
      <c r="D75" s="9"/>
      <c r="E75" s="12"/>
      <c r="F75" s="12"/>
      <c r="G75" s="9"/>
      <c r="H75" s="9"/>
    </row>
    <row r="76" spans="1:8" x14ac:dyDescent="0.25">
      <c r="A76" s="11"/>
      <c r="B76" s="9"/>
      <c r="C76" s="9"/>
      <c r="D76" s="9"/>
      <c r="E76" s="12"/>
      <c r="F76" s="12"/>
      <c r="G76" s="9"/>
      <c r="H76" s="9"/>
    </row>
    <row r="77" spans="1:8" x14ac:dyDescent="0.25">
      <c r="A77" s="11"/>
      <c r="B77" s="9"/>
      <c r="C77" s="9"/>
      <c r="D77" s="9"/>
      <c r="E77" s="12"/>
      <c r="F77" s="12"/>
      <c r="G77" s="9"/>
      <c r="H77" s="9"/>
    </row>
    <row r="78" spans="1:8" x14ac:dyDescent="0.25">
      <c r="A78" s="11"/>
      <c r="B78" s="9"/>
      <c r="C78" s="9"/>
      <c r="D78" s="9"/>
      <c r="E78" s="12"/>
      <c r="F78" s="12"/>
      <c r="G78" s="9"/>
      <c r="H78" s="9"/>
    </row>
    <row r="79" spans="1:8" x14ac:dyDescent="0.25">
      <c r="A79" s="11"/>
      <c r="B79" s="9"/>
      <c r="C79" s="9"/>
      <c r="D79" s="9"/>
      <c r="E79" s="12"/>
      <c r="F79" s="12"/>
      <c r="G79" s="9"/>
      <c r="H79" s="9"/>
    </row>
    <row r="80" spans="1:8" x14ac:dyDescent="0.25">
      <c r="A80" s="11"/>
      <c r="B80" s="9"/>
      <c r="C80" s="9"/>
      <c r="D80" s="9"/>
      <c r="E80" s="12"/>
      <c r="F80" s="12"/>
      <c r="G80" s="9"/>
      <c r="H80" s="9"/>
    </row>
    <row r="81" spans="1:8" x14ac:dyDescent="0.25">
      <c r="A81" s="11"/>
      <c r="B81" s="9"/>
      <c r="C81" s="9"/>
      <c r="D81" s="9"/>
      <c r="E81" s="12"/>
      <c r="F81" s="12"/>
      <c r="G81" s="9"/>
      <c r="H81" s="9"/>
    </row>
    <row r="82" spans="1:8" x14ac:dyDescent="0.25">
      <c r="A82" s="11"/>
      <c r="B82" s="9"/>
      <c r="C82" s="9"/>
      <c r="D82" s="9"/>
      <c r="E82" s="12"/>
      <c r="F82" s="12"/>
      <c r="G82" s="9"/>
      <c r="H82" s="9"/>
    </row>
    <row r="83" spans="1:8" x14ac:dyDescent="0.25">
      <c r="A83" s="11"/>
      <c r="B83" s="9"/>
      <c r="C83" s="9"/>
      <c r="D83" s="9"/>
      <c r="E83" s="12"/>
      <c r="F83" s="12"/>
      <c r="G83" s="9"/>
      <c r="H83" s="9"/>
    </row>
    <row r="84" spans="1:8" x14ac:dyDescent="0.25">
      <c r="A84" s="11"/>
      <c r="B84" s="9"/>
      <c r="C84" s="9"/>
      <c r="D84" s="9"/>
      <c r="E84" s="12"/>
      <c r="F84" s="12"/>
      <c r="G84" s="9"/>
      <c r="H84" s="9"/>
    </row>
    <row r="85" spans="1:8" x14ac:dyDescent="0.25">
      <c r="A85" s="11"/>
      <c r="B85" s="9"/>
      <c r="C85" s="9"/>
      <c r="D85" s="9"/>
      <c r="E85" s="12"/>
      <c r="F85" s="12"/>
      <c r="G85" s="9"/>
      <c r="H85" s="9"/>
    </row>
    <row r="86" spans="1:8" x14ac:dyDescent="0.25">
      <c r="A86" s="11"/>
      <c r="B86" s="9"/>
      <c r="C86" s="9"/>
      <c r="D86" s="9"/>
      <c r="E86" s="12"/>
      <c r="F86" s="12"/>
      <c r="G86" s="9"/>
      <c r="H86" s="9"/>
    </row>
    <row r="87" spans="1:8" x14ac:dyDescent="0.25">
      <c r="A87" s="11"/>
      <c r="B87" s="9"/>
      <c r="C87" s="9"/>
      <c r="D87" s="9"/>
      <c r="E87" s="12"/>
      <c r="F87" s="12"/>
      <c r="G87" s="9"/>
      <c r="H87" s="9"/>
    </row>
    <row r="88" spans="1:8" x14ac:dyDescent="0.25">
      <c r="A88" s="11"/>
      <c r="B88" s="9"/>
      <c r="C88" s="9"/>
      <c r="D88" s="9"/>
      <c r="E88" s="12"/>
      <c r="F88" s="12"/>
      <c r="G88" s="9"/>
      <c r="H88" s="9"/>
    </row>
    <row r="89" spans="1:8" x14ac:dyDescent="0.25">
      <c r="A89" s="11"/>
      <c r="B89" s="9"/>
      <c r="C89" s="9"/>
      <c r="D89" s="9"/>
      <c r="E89" s="12"/>
      <c r="F89" s="12"/>
      <c r="G89" s="9"/>
      <c r="H89" s="9"/>
    </row>
    <row r="90" spans="1:8" x14ac:dyDescent="0.25">
      <c r="A90" s="11"/>
      <c r="B90" s="9"/>
      <c r="C90" s="9"/>
      <c r="D90" s="9"/>
      <c r="E90" s="12"/>
      <c r="F90" s="12"/>
      <c r="G90" s="9"/>
      <c r="H90" s="9"/>
    </row>
    <row r="91" spans="1:8" x14ac:dyDescent="0.25">
      <c r="A91" s="11"/>
      <c r="B91" s="9"/>
      <c r="C91" s="9"/>
      <c r="D91" s="9"/>
      <c r="E91" s="12"/>
      <c r="F91" s="12"/>
      <c r="G91" s="9"/>
      <c r="H91" s="9"/>
    </row>
    <row r="92" spans="1:8" x14ac:dyDescent="0.25">
      <c r="A92" s="11"/>
      <c r="B92" s="9"/>
      <c r="C92" s="9"/>
      <c r="D92" s="9"/>
      <c r="E92" s="12"/>
      <c r="F92" s="12"/>
      <c r="G92" s="9"/>
      <c r="H92" s="9"/>
    </row>
    <row r="93" spans="1:8" x14ac:dyDescent="0.25">
      <c r="A93" s="11"/>
      <c r="B93" s="9"/>
      <c r="C93" s="9"/>
      <c r="D93" s="9"/>
      <c r="E93" s="12"/>
      <c r="F93" s="12"/>
      <c r="G93" s="9"/>
      <c r="H93" s="9"/>
    </row>
    <row r="94" spans="1:8" x14ac:dyDescent="0.25">
      <c r="A94" s="11"/>
      <c r="B94" s="9"/>
      <c r="C94" s="9"/>
      <c r="D94" s="9"/>
      <c r="E94" s="12"/>
      <c r="F94" s="12"/>
      <c r="G94" s="9"/>
      <c r="H94" s="9"/>
    </row>
    <row r="95" spans="1:8" x14ac:dyDescent="0.25">
      <c r="A95" s="11"/>
      <c r="B95" s="9"/>
      <c r="C95" s="9"/>
      <c r="D95" s="9"/>
      <c r="E95" s="12"/>
      <c r="F95" s="12"/>
      <c r="G95" s="9"/>
      <c r="H95" s="9"/>
    </row>
    <row r="96" spans="1:8" x14ac:dyDescent="0.25">
      <c r="A96" s="11"/>
      <c r="B96" s="9"/>
      <c r="C96" s="9"/>
      <c r="D96" s="9"/>
      <c r="E96" s="12"/>
      <c r="F96" s="12"/>
      <c r="G96" s="9"/>
      <c r="H96" s="9"/>
    </row>
    <row r="97" spans="1:8" x14ac:dyDescent="0.25">
      <c r="A97" s="11"/>
      <c r="B97" s="9"/>
      <c r="C97" s="9"/>
      <c r="D97" s="9"/>
      <c r="E97" s="12"/>
      <c r="F97" s="12"/>
      <c r="G97" s="9"/>
      <c r="H97" s="9"/>
    </row>
    <row r="98" spans="1:8" x14ac:dyDescent="0.25">
      <c r="A98" s="11"/>
      <c r="B98" s="9"/>
      <c r="C98" s="9"/>
      <c r="D98" s="9"/>
      <c r="E98" s="12"/>
      <c r="F98" s="12"/>
      <c r="G98" s="9"/>
      <c r="H98" s="9"/>
    </row>
    <row r="99" spans="1:8" x14ac:dyDescent="0.25">
      <c r="A99" s="11"/>
      <c r="B99" s="9"/>
      <c r="C99" s="9"/>
      <c r="D99" s="9"/>
      <c r="E99" s="12"/>
      <c r="F99" s="12"/>
      <c r="G99" s="9"/>
      <c r="H99" s="9"/>
    </row>
    <row r="100" spans="1:8" x14ac:dyDescent="0.25">
      <c r="A100" s="11"/>
      <c r="B100" s="9"/>
      <c r="C100" s="9"/>
      <c r="D100" s="9"/>
      <c r="E100" s="12"/>
      <c r="F100" s="12"/>
      <c r="G100" s="9"/>
      <c r="H100" s="9"/>
    </row>
    <row r="101" spans="1:8" x14ac:dyDescent="0.25">
      <c r="A101" s="11"/>
      <c r="B101" s="9"/>
      <c r="C101" s="9"/>
      <c r="D101" s="9"/>
      <c r="E101" s="12"/>
      <c r="F101" s="12"/>
      <c r="G101" s="9"/>
      <c r="H101" s="9"/>
    </row>
    <row r="102" spans="1:8" x14ac:dyDescent="0.25">
      <c r="A102" s="11"/>
      <c r="B102" s="9"/>
      <c r="C102" s="9"/>
      <c r="D102" s="9"/>
      <c r="E102" s="12"/>
      <c r="F102" s="12"/>
      <c r="G102" s="9"/>
      <c r="H102" s="9"/>
    </row>
    <row r="103" spans="1:8" x14ac:dyDescent="0.25">
      <c r="A103" s="11"/>
      <c r="B103" s="9"/>
      <c r="C103" s="9"/>
      <c r="D103" s="9"/>
      <c r="E103" s="12"/>
      <c r="F103" s="12"/>
      <c r="G103" s="9"/>
      <c r="H103" s="9"/>
    </row>
    <row r="104" spans="1:8" x14ac:dyDescent="0.25">
      <c r="D104" s="13" t="s">
        <v>100</v>
      </c>
      <c r="E104" s="14">
        <f>SUM(E4:E103)</f>
        <v>0</v>
      </c>
      <c r="F104" s="14">
        <f>SUM(F4:F103)</f>
        <v>0</v>
      </c>
    </row>
  </sheetData>
  <mergeCells count="1">
    <mergeCell ref="A1:H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400-000000000000}">
          <x14:formula1>
            <xm:f>CONFIGURACIÓN!$A$4:$A$10</xm:f>
          </x14:formula1>
          <xm:sqref>B4:B103</xm:sqref>
        </x14:dataValidation>
        <x14:dataValidation type="list" allowBlank="1" xr:uid="{00000000-0002-0000-0400-000001000000}">
          <x14:formula1>
            <xm:f>CONFIGURACIÓN!$D$4:$D$10</xm:f>
          </x14:formula1>
          <xm:sqref>G4:G103</xm:sqref>
        </x14:dataValidation>
        <x14:dataValidation type="list" allowBlank="1" xr:uid="{00000000-0002-0000-0400-000002000000}">
          <x14:formula1>
            <xm:f>CONFIGURACIÓN!$F$4:$F$25</xm:f>
          </x14:formula1>
          <xm:sqref>C4:C103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92"/>
  <sheetViews>
    <sheetView topLeftCell="A58" zoomScale="130" zoomScaleNormal="130" workbookViewId="0">
      <selection activeCell="J3" sqref="J3:P3"/>
    </sheetView>
  </sheetViews>
  <sheetFormatPr baseColWidth="10" defaultColWidth="9.140625" defaultRowHeight="15" x14ac:dyDescent="0.25"/>
  <cols>
    <col min="1" max="1" width="36" customWidth="1"/>
    <col min="2" max="2" width="22" customWidth="1"/>
    <col min="3" max="3" width="17.28515625" bestFit="1" customWidth="1"/>
    <col min="4" max="4" width="15" bestFit="1" customWidth="1"/>
    <col min="5" max="5" width="13" customWidth="1"/>
    <col min="6" max="6" width="16.28515625" customWidth="1"/>
    <col min="7" max="7" width="18.85546875" customWidth="1"/>
    <col min="10" max="10" width="48.85546875" bestFit="1" customWidth="1"/>
    <col min="11" max="11" width="21.140625" customWidth="1"/>
    <col min="12" max="12" width="16.28515625" bestFit="1" customWidth="1"/>
    <col min="13" max="13" width="15" bestFit="1" customWidth="1"/>
    <col min="14" max="14" width="9.28515625" customWidth="1"/>
    <col min="15" max="15" width="14.28515625" bestFit="1" customWidth="1"/>
    <col min="16" max="16" width="15.140625" customWidth="1"/>
  </cols>
  <sheetData>
    <row r="1" spans="1:16" ht="28.5" x14ac:dyDescent="0.45">
      <c r="A1" s="133" t="s">
        <v>303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</row>
    <row r="2" spans="1:16" ht="23.25" x14ac:dyDescent="0.35">
      <c r="A2" s="81" t="s">
        <v>286</v>
      </c>
      <c r="B2" s="81"/>
      <c r="C2" s="82">
        <v>46023</v>
      </c>
      <c r="D2" s="80"/>
      <c r="E2" s="80"/>
    </row>
    <row r="3" spans="1:16" ht="25.5" customHeight="1" x14ac:dyDescent="0.25">
      <c r="A3" s="129" t="s">
        <v>287</v>
      </c>
      <c r="B3" s="130"/>
      <c r="C3" s="130"/>
      <c r="D3" s="130"/>
      <c r="E3" s="130"/>
      <c r="F3" s="130"/>
      <c r="G3" s="130"/>
      <c r="J3" s="131" t="s">
        <v>288</v>
      </c>
      <c r="K3" s="114"/>
      <c r="L3" s="114"/>
      <c r="M3" s="114"/>
      <c r="N3" s="114"/>
      <c r="O3" s="114"/>
      <c r="P3" s="132"/>
    </row>
    <row r="4" spans="1:16" ht="17.25" customHeight="1" x14ac:dyDescent="0.25">
      <c r="A4" s="25" t="s">
        <v>44</v>
      </c>
      <c r="B4" s="25" t="s">
        <v>307</v>
      </c>
      <c r="C4" s="25" t="s">
        <v>241</v>
      </c>
      <c r="D4" s="25" t="s">
        <v>7</v>
      </c>
      <c r="E4" s="25" t="s">
        <v>6</v>
      </c>
      <c r="F4" s="83" t="s">
        <v>289</v>
      </c>
      <c r="G4" s="83" t="s">
        <v>302</v>
      </c>
      <c r="J4" s="25" t="s">
        <v>44</v>
      </c>
      <c r="K4" s="25" t="s">
        <v>306</v>
      </c>
      <c r="L4" s="25" t="s">
        <v>241</v>
      </c>
      <c r="M4" s="25" t="s">
        <v>7</v>
      </c>
      <c r="N4" s="25" t="s">
        <v>6</v>
      </c>
      <c r="O4" s="83" t="s">
        <v>289</v>
      </c>
      <c r="P4" s="83" t="s">
        <v>302</v>
      </c>
    </row>
    <row r="5" spans="1:16" x14ac:dyDescent="0.25">
      <c r="A5" s="27" t="s">
        <v>142</v>
      </c>
      <c r="B5" s="27"/>
      <c r="C5" s="52"/>
      <c r="D5" s="28"/>
      <c r="E5" s="84"/>
      <c r="F5" s="26"/>
      <c r="G5" s="99">
        <v>0.5</v>
      </c>
      <c r="J5" s="16" t="s">
        <v>170</v>
      </c>
      <c r="K5" s="16"/>
      <c r="L5" s="55"/>
      <c r="M5" s="17"/>
      <c r="N5" s="88"/>
      <c r="O5" s="88"/>
      <c r="P5" s="99">
        <v>0.5</v>
      </c>
    </row>
    <row r="6" spans="1:16" x14ac:dyDescent="0.25">
      <c r="A6" s="18" t="s">
        <v>143</v>
      </c>
      <c r="B6" s="18"/>
      <c r="C6" s="51" t="s">
        <v>290</v>
      </c>
      <c r="D6" s="19">
        <v>8500000</v>
      </c>
      <c r="E6" s="85" t="s">
        <v>118</v>
      </c>
      <c r="F6" s="26"/>
      <c r="G6" s="100" t="s">
        <v>301</v>
      </c>
      <c r="J6" s="18" t="s">
        <v>216</v>
      </c>
      <c r="K6" s="18"/>
      <c r="L6" s="51" t="s">
        <v>55</v>
      </c>
      <c r="M6" s="19">
        <v>25000000</v>
      </c>
      <c r="N6" s="85">
        <v>0</v>
      </c>
      <c r="O6" s="85"/>
      <c r="P6" s="100" t="s">
        <v>301</v>
      </c>
    </row>
    <row r="7" spans="1:16" x14ac:dyDescent="0.25">
      <c r="A7" s="18" t="s">
        <v>198</v>
      </c>
      <c r="B7" s="18"/>
      <c r="C7" s="51" t="s">
        <v>290</v>
      </c>
      <c r="D7" s="19"/>
      <c r="E7" s="85" t="s">
        <v>114</v>
      </c>
      <c r="F7" s="26"/>
      <c r="G7" s="26"/>
      <c r="J7" s="18" t="s">
        <v>215</v>
      </c>
      <c r="K7" s="18"/>
      <c r="L7" s="51" t="s">
        <v>55</v>
      </c>
      <c r="M7" s="19">
        <v>5000000</v>
      </c>
      <c r="N7" s="85">
        <v>0</v>
      </c>
      <c r="O7" s="85"/>
      <c r="P7" s="26"/>
    </row>
    <row r="8" spans="1:16" x14ac:dyDescent="0.25">
      <c r="A8" s="18" t="s">
        <v>144</v>
      </c>
      <c r="B8" s="18"/>
      <c r="C8" s="51" t="s">
        <v>55</v>
      </c>
      <c r="D8" s="19">
        <v>0</v>
      </c>
      <c r="E8" s="85" t="s">
        <v>114</v>
      </c>
      <c r="F8" s="26"/>
      <c r="G8" s="26"/>
      <c r="J8" t="s">
        <v>137</v>
      </c>
      <c r="L8" s="58"/>
      <c r="M8" s="19"/>
      <c r="N8" s="85">
        <v>0</v>
      </c>
      <c r="O8" s="85"/>
      <c r="P8" s="26"/>
    </row>
    <row r="9" spans="1:16" x14ac:dyDescent="0.25">
      <c r="A9" s="18" t="s">
        <v>244</v>
      </c>
      <c r="B9" s="18"/>
      <c r="C9" s="51" t="s">
        <v>295</v>
      </c>
      <c r="D9" s="19"/>
      <c r="E9" s="85" t="s">
        <v>114</v>
      </c>
      <c r="F9" s="26"/>
      <c r="G9" s="26"/>
      <c r="J9" s="21" t="s">
        <v>150</v>
      </c>
      <c r="K9" s="21"/>
      <c r="L9" s="54"/>
      <c r="M9" s="21"/>
      <c r="N9" s="93"/>
      <c r="O9" s="93"/>
      <c r="P9" s="26"/>
    </row>
    <row r="10" spans="1:16" x14ac:dyDescent="0.25">
      <c r="A10" s="18" t="s">
        <v>243</v>
      </c>
      <c r="B10" s="18"/>
      <c r="C10" s="51" t="s">
        <v>295</v>
      </c>
      <c r="D10" s="19">
        <v>0</v>
      </c>
      <c r="E10" s="85" t="s">
        <v>114</v>
      </c>
      <c r="F10" s="26"/>
      <c r="G10" s="26"/>
      <c r="J10" s="21" t="s">
        <v>150</v>
      </c>
      <c r="K10" s="21"/>
      <c r="L10" s="54"/>
      <c r="M10" s="21"/>
      <c r="N10" s="93"/>
      <c r="O10" s="93"/>
      <c r="P10" s="26"/>
    </row>
    <row r="11" spans="1:16" x14ac:dyDescent="0.25">
      <c r="A11" s="18" t="s">
        <v>145</v>
      </c>
      <c r="B11" s="18"/>
      <c r="C11" s="51" t="s">
        <v>55</v>
      </c>
      <c r="D11" s="19">
        <v>500000</v>
      </c>
      <c r="E11" s="85" t="s">
        <v>118</v>
      </c>
      <c r="F11" s="26"/>
      <c r="G11" s="26"/>
      <c r="J11" s="21" t="s">
        <v>150</v>
      </c>
      <c r="K11" s="21"/>
      <c r="L11" s="54"/>
      <c r="M11" s="21"/>
      <c r="N11" s="93"/>
      <c r="O11" s="93"/>
      <c r="P11" s="26"/>
    </row>
    <row r="12" spans="1:16" ht="15.75" x14ac:dyDescent="0.25">
      <c r="A12" s="18" t="s">
        <v>199</v>
      </c>
      <c r="B12" s="18"/>
      <c r="C12" s="51" t="s">
        <v>292</v>
      </c>
      <c r="D12" s="19">
        <v>200000</v>
      </c>
      <c r="E12" s="85" t="s">
        <v>114</v>
      </c>
      <c r="F12" s="26"/>
      <c r="G12" s="26"/>
      <c r="J12" s="35" t="s">
        <v>171</v>
      </c>
      <c r="K12" s="35"/>
      <c r="L12" s="59"/>
      <c r="M12" s="36">
        <f>SUM(M6:M11)</f>
        <v>30000000</v>
      </c>
      <c r="N12" s="94">
        <f>SUM(N6:N11)</f>
        <v>0</v>
      </c>
      <c r="O12" s="94"/>
      <c r="P12" s="26"/>
    </row>
    <row r="13" spans="1:16" x14ac:dyDescent="0.25">
      <c r="A13" s="18" t="s">
        <v>242</v>
      </c>
      <c r="B13" s="18"/>
      <c r="C13" s="51" t="s">
        <v>290</v>
      </c>
      <c r="D13" s="19"/>
      <c r="E13" s="85" t="s">
        <v>114</v>
      </c>
      <c r="F13" s="26"/>
      <c r="G13" s="26"/>
      <c r="J13" s="16" t="s">
        <v>230</v>
      </c>
      <c r="K13" s="16"/>
      <c r="L13" s="55"/>
      <c r="M13" s="17"/>
      <c r="N13" s="88"/>
      <c r="O13" s="88"/>
      <c r="P13" s="26"/>
    </row>
    <row r="14" spans="1:16" x14ac:dyDescent="0.25">
      <c r="A14" s="18" t="s">
        <v>245</v>
      </c>
      <c r="B14" s="18"/>
      <c r="C14" s="51" t="s">
        <v>296</v>
      </c>
      <c r="D14" s="19">
        <v>0</v>
      </c>
      <c r="E14" s="85" t="s">
        <v>114</v>
      </c>
      <c r="F14" s="26"/>
      <c r="G14" s="26"/>
      <c r="J14" s="18" t="s">
        <v>68</v>
      </c>
      <c r="K14" s="18"/>
      <c r="L14" s="51" t="s">
        <v>298</v>
      </c>
      <c r="M14" s="19">
        <v>13500000</v>
      </c>
      <c r="N14" s="85">
        <v>0</v>
      </c>
      <c r="O14" s="85"/>
      <c r="P14" s="26"/>
    </row>
    <row r="15" spans="1:16" x14ac:dyDescent="0.25">
      <c r="A15" s="18" t="s">
        <v>246</v>
      </c>
      <c r="B15" s="18"/>
      <c r="C15" s="51" t="s">
        <v>296</v>
      </c>
      <c r="D15" s="19"/>
      <c r="E15" s="85" t="s">
        <v>118</v>
      </c>
      <c r="F15" s="26"/>
      <c r="G15" s="26"/>
      <c r="J15" s="18" t="s">
        <v>69</v>
      </c>
      <c r="K15" s="18"/>
      <c r="L15" s="51" t="s">
        <v>298</v>
      </c>
      <c r="M15" s="19">
        <v>4130000</v>
      </c>
      <c r="N15" s="85">
        <v>0</v>
      </c>
      <c r="O15" s="85"/>
      <c r="P15" s="26"/>
    </row>
    <row r="16" spans="1:16" x14ac:dyDescent="0.25">
      <c r="A16" s="18" t="s">
        <v>146</v>
      </c>
      <c r="B16" s="18"/>
      <c r="C16" s="51" t="s">
        <v>55</v>
      </c>
      <c r="D16" s="19">
        <v>2999999</v>
      </c>
      <c r="E16" s="85" t="s">
        <v>114</v>
      </c>
      <c r="F16" s="26"/>
      <c r="G16" s="26"/>
      <c r="J16" s="18" t="s">
        <v>220</v>
      </c>
      <c r="K16" s="18"/>
      <c r="L16" s="51" t="s">
        <v>291</v>
      </c>
      <c r="M16" s="19"/>
      <c r="N16" s="85"/>
      <c r="O16" s="85"/>
      <c r="P16" s="26"/>
    </row>
    <row r="17" spans="1:16" x14ac:dyDescent="0.25">
      <c r="A17" s="18" t="s">
        <v>248</v>
      </c>
      <c r="B17" s="18"/>
      <c r="C17" s="51" t="s">
        <v>55</v>
      </c>
      <c r="D17" s="19">
        <v>3000000</v>
      </c>
      <c r="E17" s="85" t="s">
        <v>114</v>
      </c>
      <c r="F17" s="26"/>
      <c r="G17" s="26"/>
      <c r="J17" s="21" t="s">
        <v>150</v>
      </c>
      <c r="K17" s="21"/>
      <c r="L17" s="54"/>
      <c r="M17" s="21"/>
      <c r="N17" s="93"/>
      <c r="O17" s="93"/>
      <c r="P17" s="26"/>
    </row>
    <row r="18" spans="1:16" x14ac:dyDescent="0.25">
      <c r="A18" s="18" t="s">
        <v>247</v>
      </c>
      <c r="B18" s="18"/>
      <c r="C18" s="51" t="s">
        <v>55</v>
      </c>
      <c r="D18" s="19"/>
      <c r="E18" s="85" t="s">
        <v>114</v>
      </c>
      <c r="F18" s="26"/>
      <c r="G18" s="26"/>
      <c r="J18" s="21" t="s">
        <v>150</v>
      </c>
      <c r="K18" s="21"/>
      <c r="L18" s="54"/>
      <c r="M18" s="21"/>
      <c r="N18" s="93"/>
      <c r="O18" s="93"/>
      <c r="P18" s="26"/>
    </row>
    <row r="19" spans="1:16" ht="15.75" x14ac:dyDescent="0.25">
      <c r="A19" s="29" t="s">
        <v>40</v>
      </c>
      <c r="B19" s="29"/>
      <c r="C19" s="53"/>
      <c r="D19" s="30">
        <f t="shared" ref="D19:E19" si="0">SUM(D6:D17)</f>
        <v>15199999</v>
      </c>
      <c r="E19" s="86">
        <f t="shared" si="0"/>
        <v>0</v>
      </c>
      <c r="F19" s="26"/>
      <c r="G19" s="26"/>
      <c r="J19" s="21" t="s">
        <v>150</v>
      </c>
      <c r="K19" s="21"/>
      <c r="L19" s="54"/>
      <c r="M19" s="21"/>
      <c r="N19" s="93"/>
      <c r="O19" s="93"/>
      <c r="P19" s="26"/>
    </row>
    <row r="20" spans="1:16" ht="15.75" x14ac:dyDescent="0.25">
      <c r="A20" s="27" t="s">
        <v>147</v>
      </c>
      <c r="B20" s="27"/>
      <c r="C20" s="52"/>
      <c r="D20" s="28"/>
      <c r="E20" s="84"/>
      <c r="F20" s="26"/>
      <c r="G20" s="26"/>
      <c r="J20" s="35" t="s">
        <v>231</v>
      </c>
      <c r="K20" s="35"/>
      <c r="L20" s="59"/>
      <c r="M20" s="36">
        <f>SUM(M14:M19)</f>
        <v>17630000</v>
      </c>
      <c r="N20" s="94">
        <f>SUM(N14:N19)</f>
        <v>0</v>
      </c>
      <c r="O20" s="94"/>
      <c r="P20" s="26"/>
    </row>
    <row r="21" spans="1:16" x14ac:dyDescent="0.25">
      <c r="A21" s="18" t="s">
        <v>49</v>
      </c>
      <c r="B21" s="18"/>
      <c r="C21" s="51" t="s">
        <v>290</v>
      </c>
      <c r="D21" s="19">
        <v>1800000</v>
      </c>
      <c r="E21" s="85" t="s">
        <v>114</v>
      </c>
      <c r="F21" s="26"/>
      <c r="G21" s="26"/>
      <c r="J21" s="16" t="s">
        <v>172</v>
      </c>
      <c r="K21" s="16"/>
      <c r="L21" s="55"/>
      <c r="M21" s="17"/>
      <c r="N21" s="88"/>
      <c r="O21" s="88"/>
      <c r="P21" s="26"/>
    </row>
    <row r="22" spans="1:16" x14ac:dyDescent="0.25">
      <c r="A22" s="18" t="s">
        <v>51</v>
      </c>
      <c r="B22" s="18"/>
      <c r="C22" s="51" t="s">
        <v>290</v>
      </c>
      <c r="D22" s="19">
        <v>1200000</v>
      </c>
      <c r="E22" s="85" t="s">
        <v>114</v>
      </c>
      <c r="F22" s="26"/>
      <c r="G22" s="26"/>
      <c r="J22" s="18" t="s">
        <v>72</v>
      </c>
      <c r="K22" s="18"/>
      <c r="L22" s="51" t="s">
        <v>298</v>
      </c>
      <c r="M22" s="19">
        <v>2000000</v>
      </c>
      <c r="N22" s="85">
        <v>0</v>
      </c>
      <c r="O22" s="85"/>
      <c r="P22" s="26"/>
    </row>
    <row r="23" spans="1:16" x14ac:dyDescent="0.25">
      <c r="A23" s="18" t="s">
        <v>52</v>
      </c>
      <c r="B23" s="18"/>
      <c r="C23" s="51" t="s">
        <v>290</v>
      </c>
      <c r="D23" s="19">
        <v>1600000</v>
      </c>
      <c r="E23" s="85" t="s">
        <v>114</v>
      </c>
      <c r="F23" s="26"/>
      <c r="G23" s="26"/>
      <c r="J23" s="18" t="s">
        <v>73</v>
      </c>
      <c r="K23" s="18"/>
      <c r="L23" s="51" t="s">
        <v>298</v>
      </c>
      <c r="M23" s="19">
        <v>1800000</v>
      </c>
      <c r="N23" s="85">
        <v>0</v>
      </c>
      <c r="O23" s="85"/>
      <c r="P23" s="26"/>
    </row>
    <row r="24" spans="1:16" x14ac:dyDescent="0.25">
      <c r="A24" s="18" t="s">
        <v>53</v>
      </c>
      <c r="B24" s="18"/>
      <c r="C24" s="51" t="s">
        <v>290</v>
      </c>
      <c r="D24" s="19">
        <v>400000</v>
      </c>
      <c r="E24" s="85" t="s">
        <v>122</v>
      </c>
      <c r="F24" s="26"/>
      <c r="G24" s="26"/>
      <c r="J24" s="18" t="s">
        <v>70</v>
      </c>
      <c r="K24" s="18"/>
      <c r="L24" s="51" t="s">
        <v>55</v>
      </c>
      <c r="M24" s="19"/>
      <c r="N24" s="85"/>
      <c r="O24" s="85"/>
      <c r="P24" s="26"/>
    </row>
    <row r="25" spans="1:16" x14ac:dyDescent="0.25">
      <c r="A25" s="18" t="s">
        <v>54</v>
      </c>
      <c r="B25" s="18"/>
      <c r="C25" s="51" t="s">
        <v>291</v>
      </c>
      <c r="D25" s="19">
        <v>400000</v>
      </c>
      <c r="E25" s="85" t="s">
        <v>118</v>
      </c>
      <c r="F25" s="26"/>
      <c r="G25" s="26"/>
      <c r="J25" s="18" t="s">
        <v>74</v>
      </c>
      <c r="K25" s="18"/>
      <c r="L25" s="51" t="s">
        <v>299</v>
      </c>
      <c r="M25" s="19">
        <v>500000</v>
      </c>
      <c r="N25" s="85">
        <v>0</v>
      </c>
      <c r="O25" s="85"/>
      <c r="P25" s="26"/>
    </row>
    <row r="26" spans="1:16" x14ac:dyDescent="0.25">
      <c r="A26" s="18" t="s">
        <v>56</v>
      </c>
      <c r="B26" s="18"/>
      <c r="C26" s="51" t="s">
        <v>291</v>
      </c>
      <c r="D26" s="19">
        <v>300000</v>
      </c>
      <c r="E26" s="85" t="s">
        <v>114</v>
      </c>
      <c r="F26" s="26"/>
      <c r="G26" s="26"/>
      <c r="J26" s="18" t="s">
        <v>173</v>
      </c>
      <c r="K26" s="18"/>
      <c r="L26" s="51" t="s">
        <v>298</v>
      </c>
      <c r="M26" s="19">
        <v>5000000</v>
      </c>
      <c r="N26" s="85">
        <v>0</v>
      </c>
      <c r="O26" s="85"/>
      <c r="P26" s="26"/>
    </row>
    <row r="27" spans="1:16" x14ac:dyDescent="0.25">
      <c r="A27" s="18" t="s">
        <v>148</v>
      </c>
      <c r="B27" s="18"/>
      <c r="C27" s="51" t="s">
        <v>290</v>
      </c>
      <c r="D27" s="19">
        <v>1200000</v>
      </c>
      <c r="E27" s="85" t="s">
        <v>114</v>
      </c>
      <c r="F27" s="26"/>
      <c r="G27" s="26"/>
      <c r="J27" s="18" t="s">
        <v>76</v>
      </c>
      <c r="K27" s="18"/>
      <c r="L27" s="51" t="s">
        <v>298</v>
      </c>
      <c r="M27" s="19">
        <v>300000</v>
      </c>
      <c r="N27" s="85">
        <v>0</v>
      </c>
      <c r="O27" s="85"/>
      <c r="P27" s="26"/>
    </row>
    <row r="28" spans="1:16" x14ac:dyDescent="0.25">
      <c r="A28" s="18" t="s">
        <v>190</v>
      </c>
      <c r="B28" s="18"/>
      <c r="C28" s="51" t="s">
        <v>290</v>
      </c>
      <c r="D28" s="19"/>
      <c r="E28" s="85" t="s">
        <v>114</v>
      </c>
      <c r="F28" s="26"/>
      <c r="G28" s="26"/>
      <c r="J28" s="21" t="s">
        <v>150</v>
      </c>
      <c r="K28" s="21"/>
      <c r="L28" s="54"/>
      <c r="M28" s="21"/>
      <c r="N28" s="93"/>
      <c r="O28" s="93"/>
      <c r="P28" s="26"/>
    </row>
    <row r="29" spans="1:16" x14ac:dyDescent="0.25">
      <c r="A29" s="18" t="s">
        <v>149</v>
      </c>
      <c r="B29" s="18"/>
      <c r="C29" s="51" t="s">
        <v>290</v>
      </c>
      <c r="D29" s="19">
        <v>0</v>
      </c>
      <c r="E29" s="85" t="s">
        <v>118</v>
      </c>
      <c r="F29" s="26"/>
      <c r="G29" s="26"/>
      <c r="J29" s="21" t="s">
        <v>150</v>
      </c>
      <c r="K29" s="21"/>
      <c r="L29" s="54"/>
      <c r="M29" s="21"/>
      <c r="N29" s="93"/>
      <c r="O29" s="93"/>
      <c r="P29" s="26"/>
    </row>
    <row r="30" spans="1:16" x14ac:dyDescent="0.25">
      <c r="A30" s="18" t="s">
        <v>212</v>
      </c>
      <c r="B30" s="18"/>
      <c r="C30" s="51" t="s">
        <v>290</v>
      </c>
      <c r="D30" s="19">
        <v>350000</v>
      </c>
      <c r="E30" s="85" t="s">
        <v>114</v>
      </c>
      <c r="F30" s="26"/>
      <c r="G30" s="26"/>
      <c r="J30" s="21" t="s">
        <v>150</v>
      </c>
      <c r="K30" s="21"/>
      <c r="L30" s="54"/>
      <c r="M30" s="21"/>
      <c r="N30" s="93"/>
      <c r="O30" s="93"/>
      <c r="P30" s="26"/>
    </row>
    <row r="31" spans="1:16" ht="15.75" x14ac:dyDescent="0.25">
      <c r="A31" s="21" t="s">
        <v>150</v>
      </c>
      <c r="B31" s="21"/>
      <c r="C31" s="54"/>
      <c r="D31" s="22"/>
      <c r="E31" s="87"/>
      <c r="F31" s="26"/>
      <c r="G31" s="26"/>
      <c r="J31" s="35" t="s">
        <v>232</v>
      </c>
      <c r="K31" s="35"/>
      <c r="L31" s="59"/>
      <c r="M31" s="36">
        <f>SUM(M22:M30)</f>
        <v>9600000</v>
      </c>
      <c r="N31" s="94">
        <f>SUM(N25:N30)</f>
        <v>0</v>
      </c>
      <c r="O31" s="94"/>
      <c r="P31" s="26"/>
    </row>
    <row r="32" spans="1:16" x14ac:dyDescent="0.25">
      <c r="A32" s="21" t="s">
        <v>150</v>
      </c>
      <c r="B32" s="21"/>
      <c r="C32" s="54"/>
      <c r="D32" s="22"/>
      <c r="E32" s="87"/>
      <c r="F32" s="26"/>
      <c r="G32" s="26"/>
      <c r="J32" s="16" t="s">
        <v>174</v>
      </c>
      <c r="K32" s="16"/>
      <c r="L32" s="55"/>
      <c r="M32" s="17"/>
      <c r="N32" s="88"/>
      <c r="O32" s="88"/>
      <c r="P32" s="26"/>
    </row>
    <row r="33" spans="1:16" x14ac:dyDescent="0.25">
      <c r="A33" s="21" t="s">
        <v>150</v>
      </c>
      <c r="B33" s="21"/>
      <c r="C33" s="54"/>
      <c r="D33" s="22"/>
      <c r="E33" s="87"/>
      <c r="F33" s="26"/>
      <c r="G33" s="26"/>
      <c r="J33" s="18" t="s">
        <v>78</v>
      </c>
      <c r="K33" s="18"/>
      <c r="L33" s="51" t="s">
        <v>298</v>
      </c>
      <c r="M33" s="19">
        <v>100000</v>
      </c>
      <c r="N33" s="85">
        <v>0</v>
      </c>
      <c r="O33" s="85"/>
      <c r="P33" s="26"/>
    </row>
    <row r="34" spans="1:16" ht="15.75" x14ac:dyDescent="0.25">
      <c r="A34" s="29" t="s">
        <v>183</v>
      </c>
      <c r="B34" s="29"/>
      <c r="C34" s="53"/>
      <c r="D34" s="30">
        <f>SUM(D14:D33)</f>
        <v>28449998</v>
      </c>
      <c r="E34" s="86">
        <f t="shared" ref="E34" si="1">SUM(E24:E33)</f>
        <v>0</v>
      </c>
      <c r="F34" s="26"/>
      <c r="G34" s="26"/>
      <c r="J34" s="18" t="s">
        <v>175</v>
      </c>
      <c r="K34" s="18"/>
      <c r="L34" s="51" t="s">
        <v>298</v>
      </c>
      <c r="M34" s="19">
        <v>100000</v>
      </c>
      <c r="N34" s="85">
        <v>0</v>
      </c>
      <c r="O34" s="85"/>
      <c r="P34" s="26"/>
    </row>
    <row r="35" spans="1:16" x14ac:dyDescent="0.25">
      <c r="A35" s="27" t="s">
        <v>151</v>
      </c>
      <c r="B35" s="27"/>
      <c r="C35" s="52"/>
      <c r="D35" s="28"/>
      <c r="E35" s="84"/>
      <c r="F35" s="26"/>
      <c r="G35" s="26"/>
      <c r="J35" s="18" t="s">
        <v>79</v>
      </c>
      <c r="K35" s="18"/>
      <c r="L35" s="51" t="s">
        <v>298</v>
      </c>
      <c r="M35" s="19">
        <v>150000</v>
      </c>
      <c r="N35" s="85">
        <v>0</v>
      </c>
      <c r="O35" s="85"/>
      <c r="P35" s="26"/>
    </row>
    <row r="36" spans="1:16" x14ac:dyDescent="0.25">
      <c r="A36" s="63" t="s">
        <v>189</v>
      </c>
      <c r="B36" s="63"/>
      <c r="C36" s="64" t="s">
        <v>55</v>
      </c>
      <c r="D36" s="26"/>
      <c r="E36" s="85" t="s">
        <v>122</v>
      </c>
      <c r="F36" s="26"/>
      <c r="G36" s="26"/>
      <c r="J36" s="18" t="s">
        <v>80</v>
      </c>
      <c r="K36" s="18"/>
      <c r="L36" s="51" t="s">
        <v>298</v>
      </c>
      <c r="M36" s="19">
        <v>200000</v>
      </c>
      <c r="N36" s="85">
        <v>0</v>
      </c>
      <c r="O36" s="85"/>
      <c r="P36" s="26"/>
    </row>
    <row r="37" spans="1:16" x14ac:dyDescent="0.25">
      <c r="A37" s="18" t="s">
        <v>57</v>
      </c>
      <c r="B37" s="18"/>
      <c r="C37" s="51" t="s">
        <v>290</v>
      </c>
      <c r="D37" s="19">
        <v>200000</v>
      </c>
      <c r="E37" s="85" t="s">
        <v>114</v>
      </c>
      <c r="F37" s="26"/>
      <c r="G37" s="26"/>
      <c r="J37" s="21" t="s">
        <v>150</v>
      </c>
      <c r="K37" s="21"/>
      <c r="L37" s="54"/>
      <c r="M37" s="21"/>
      <c r="N37" s="93"/>
      <c r="O37" s="93"/>
      <c r="P37" s="26"/>
    </row>
    <row r="38" spans="1:16" x14ac:dyDescent="0.25">
      <c r="A38" s="18" t="s">
        <v>58</v>
      </c>
      <c r="B38" s="18"/>
      <c r="C38" s="64" t="s">
        <v>292</v>
      </c>
      <c r="D38" s="19">
        <v>150000</v>
      </c>
      <c r="E38" s="85" t="s">
        <v>114</v>
      </c>
      <c r="F38" s="26"/>
      <c r="G38" s="26"/>
      <c r="J38" s="21" t="s">
        <v>150</v>
      </c>
      <c r="K38" s="21"/>
      <c r="L38" s="54"/>
      <c r="M38" s="21"/>
      <c r="N38" s="93"/>
      <c r="O38" s="93"/>
      <c r="P38" s="26"/>
    </row>
    <row r="39" spans="1:16" x14ac:dyDescent="0.25">
      <c r="A39" s="18" t="s">
        <v>152</v>
      </c>
      <c r="B39" s="18"/>
      <c r="C39" s="51" t="s">
        <v>290</v>
      </c>
      <c r="D39" s="19"/>
      <c r="E39" s="85" t="s">
        <v>118</v>
      </c>
      <c r="F39" s="26"/>
      <c r="G39" s="26"/>
      <c r="J39" s="21" t="s">
        <v>150</v>
      </c>
      <c r="K39" s="21"/>
      <c r="L39" s="54"/>
      <c r="M39" s="21"/>
      <c r="N39" s="93"/>
      <c r="O39" s="93"/>
      <c r="P39" s="26"/>
    </row>
    <row r="40" spans="1:16" ht="15.75" x14ac:dyDescent="0.25">
      <c r="A40" s="18" t="s">
        <v>153</v>
      </c>
      <c r="B40" s="18"/>
      <c r="C40" s="51" t="s">
        <v>290</v>
      </c>
      <c r="D40" s="19">
        <v>391000</v>
      </c>
      <c r="E40" s="85" t="s">
        <v>118</v>
      </c>
      <c r="F40" s="26"/>
      <c r="G40" s="26"/>
      <c r="J40" s="35" t="s">
        <v>233</v>
      </c>
      <c r="K40" s="35"/>
      <c r="L40" s="59"/>
      <c r="M40" s="36">
        <f>SUM(M33:M39)</f>
        <v>550000</v>
      </c>
      <c r="N40" s="94">
        <f>SUM(N34:N39)</f>
        <v>0</v>
      </c>
      <c r="O40" s="94"/>
      <c r="P40" s="26"/>
    </row>
    <row r="41" spans="1:16" x14ac:dyDescent="0.25">
      <c r="A41" s="18" t="s">
        <v>60</v>
      </c>
      <c r="B41" s="18"/>
      <c r="C41" s="51" t="s">
        <v>290</v>
      </c>
      <c r="D41" s="19">
        <v>2000000</v>
      </c>
      <c r="E41" s="85" t="s">
        <v>114</v>
      </c>
      <c r="F41" s="26"/>
      <c r="G41" s="26"/>
      <c r="J41" s="16" t="s">
        <v>213</v>
      </c>
      <c r="K41" s="16"/>
      <c r="L41" s="55"/>
      <c r="M41" s="17"/>
      <c r="N41" s="88"/>
      <c r="O41" s="88"/>
      <c r="P41" s="26"/>
    </row>
    <row r="42" spans="1:16" x14ac:dyDescent="0.25">
      <c r="A42" s="18" t="s">
        <v>61</v>
      </c>
      <c r="B42" s="18"/>
      <c r="C42" s="51" t="s">
        <v>290</v>
      </c>
      <c r="D42" s="19">
        <v>800000</v>
      </c>
      <c r="E42" s="85" t="s">
        <v>114</v>
      </c>
      <c r="F42" s="26"/>
      <c r="G42" s="26"/>
      <c r="J42" s="18" t="s">
        <v>82</v>
      </c>
      <c r="K42" s="18"/>
      <c r="L42" s="51" t="s">
        <v>299</v>
      </c>
      <c r="M42" s="19">
        <v>1500000</v>
      </c>
      <c r="N42" s="85">
        <v>0</v>
      </c>
      <c r="O42" s="85"/>
      <c r="P42" s="26"/>
    </row>
    <row r="43" spans="1:16" x14ac:dyDescent="0.25">
      <c r="A43" s="18" t="s">
        <v>154</v>
      </c>
      <c r="B43" s="18"/>
      <c r="C43" s="51" t="s">
        <v>290</v>
      </c>
      <c r="D43" s="19">
        <v>500000</v>
      </c>
      <c r="E43" s="85" t="s">
        <v>114</v>
      </c>
      <c r="F43" s="26"/>
      <c r="G43" s="26"/>
      <c r="J43" s="18" t="s">
        <v>176</v>
      </c>
      <c r="K43" s="18"/>
      <c r="L43" s="51" t="s">
        <v>298</v>
      </c>
      <c r="M43" s="19">
        <v>800000</v>
      </c>
      <c r="N43" s="85">
        <v>0</v>
      </c>
      <c r="O43" s="85"/>
      <c r="P43" s="26"/>
    </row>
    <row r="44" spans="1:16" x14ac:dyDescent="0.25">
      <c r="A44" s="18" t="s">
        <v>62</v>
      </c>
      <c r="B44" s="18"/>
      <c r="C44" s="51" t="s">
        <v>290</v>
      </c>
      <c r="D44" s="19">
        <v>850000</v>
      </c>
      <c r="E44" s="85" t="s">
        <v>118</v>
      </c>
      <c r="F44" s="26"/>
      <c r="G44" s="26"/>
      <c r="J44" s="18" t="s">
        <v>217</v>
      </c>
      <c r="K44" s="18"/>
      <c r="L44" s="51" t="s">
        <v>300</v>
      </c>
      <c r="M44" s="19"/>
      <c r="N44" s="85"/>
      <c r="O44" s="85"/>
      <c r="P44" s="26"/>
    </row>
    <row r="45" spans="1:16" x14ac:dyDescent="0.25">
      <c r="A45" s="18" t="s">
        <v>63</v>
      </c>
      <c r="B45" s="18"/>
      <c r="C45" s="51" t="s">
        <v>290</v>
      </c>
      <c r="D45" s="19">
        <v>650000</v>
      </c>
      <c r="E45" s="85" t="s">
        <v>114</v>
      </c>
      <c r="F45" s="26"/>
      <c r="G45" s="26"/>
      <c r="J45" s="18" t="s">
        <v>214</v>
      </c>
      <c r="K45" s="18"/>
      <c r="L45" s="51" t="s">
        <v>292</v>
      </c>
      <c r="M45" s="19"/>
      <c r="N45" s="85"/>
      <c r="O45" s="85"/>
      <c r="P45" s="26"/>
    </row>
    <row r="46" spans="1:16" x14ac:dyDescent="0.25">
      <c r="A46" s="18" t="s">
        <v>155</v>
      </c>
      <c r="B46" s="18"/>
      <c r="C46" s="51" t="s">
        <v>290</v>
      </c>
      <c r="D46" s="19">
        <v>0</v>
      </c>
      <c r="E46" s="85" t="s">
        <v>114</v>
      </c>
      <c r="F46" s="26"/>
      <c r="G46" s="26"/>
      <c r="J46" s="21" t="s">
        <v>150</v>
      </c>
      <c r="K46" s="21"/>
      <c r="L46" s="54"/>
      <c r="M46" s="21"/>
      <c r="N46" s="93"/>
      <c r="O46" s="93"/>
      <c r="P46" s="26"/>
    </row>
    <row r="47" spans="1:16" x14ac:dyDescent="0.25">
      <c r="A47" s="18" t="s">
        <v>191</v>
      </c>
      <c r="B47" s="18"/>
      <c r="C47" s="51" t="s">
        <v>297</v>
      </c>
      <c r="D47" s="19">
        <v>0</v>
      </c>
      <c r="E47" s="85" t="s">
        <v>118</v>
      </c>
      <c r="F47" s="26"/>
      <c r="G47" s="26"/>
      <c r="J47" s="21" t="s">
        <v>150</v>
      </c>
      <c r="K47" s="21"/>
      <c r="L47" s="54"/>
      <c r="M47" s="21"/>
      <c r="N47" s="93"/>
      <c r="O47" s="93"/>
      <c r="P47" s="26"/>
    </row>
    <row r="48" spans="1:16" x14ac:dyDescent="0.25">
      <c r="A48" s="18" t="s">
        <v>192</v>
      </c>
      <c r="B48" s="18"/>
      <c r="C48" s="51" t="s">
        <v>297</v>
      </c>
      <c r="D48" s="19">
        <v>0</v>
      </c>
      <c r="E48" s="85" t="s">
        <v>114</v>
      </c>
      <c r="F48" s="26"/>
      <c r="G48" s="26"/>
      <c r="J48" s="21" t="s">
        <v>150</v>
      </c>
      <c r="K48" s="21"/>
      <c r="L48" s="54"/>
      <c r="M48" s="21"/>
      <c r="N48" s="93"/>
      <c r="O48" s="93"/>
      <c r="P48" s="26"/>
    </row>
    <row r="49" spans="1:16" ht="15.75" x14ac:dyDescent="0.25">
      <c r="A49" s="18" t="s">
        <v>193</v>
      </c>
      <c r="B49" s="18"/>
      <c r="C49" s="51" t="s">
        <v>297</v>
      </c>
      <c r="D49" s="19">
        <v>0</v>
      </c>
      <c r="E49" s="85" t="s">
        <v>118</v>
      </c>
      <c r="F49" s="26"/>
      <c r="G49" s="26"/>
      <c r="J49" s="35" t="s">
        <v>234</v>
      </c>
      <c r="K49" s="35"/>
      <c r="L49" s="59"/>
      <c r="M49" s="36">
        <f>SUM(M42:M48)</f>
        <v>2300000</v>
      </c>
      <c r="N49" s="94">
        <f>SUM(N43:N48)</f>
        <v>0</v>
      </c>
      <c r="O49" s="94"/>
      <c r="P49" s="26"/>
    </row>
    <row r="50" spans="1:16" x14ac:dyDescent="0.25">
      <c r="A50" s="18" t="s">
        <v>209</v>
      </c>
      <c r="B50" s="18"/>
      <c r="C50" s="51" t="s">
        <v>297</v>
      </c>
      <c r="D50" s="19">
        <v>0</v>
      </c>
      <c r="E50" s="85" t="s">
        <v>114</v>
      </c>
      <c r="F50" s="26"/>
      <c r="G50" s="26"/>
      <c r="J50" s="16" t="s">
        <v>177</v>
      </c>
      <c r="K50" s="16"/>
      <c r="L50" s="55"/>
      <c r="M50" s="17"/>
      <c r="N50" s="88"/>
      <c r="O50" s="88"/>
      <c r="P50" s="26"/>
    </row>
    <row r="51" spans="1:16" x14ac:dyDescent="0.25">
      <c r="A51" s="21" t="s">
        <v>150</v>
      </c>
      <c r="B51" s="21"/>
      <c r="C51" s="54"/>
      <c r="D51" s="22"/>
      <c r="E51" s="87"/>
      <c r="F51" s="26"/>
      <c r="G51" s="26"/>
      <c r="J51" s="18" t="s">
        <v>221</v>
      </c>
      <c r="K51" s="18"/>
      <c r="L51" s="51" t="s">
        <v>55</v>
      </c>
      <c r="M51" s="19">
        <v>0</v>
      </c>
      <c r="N51" s="85">
        <v>0</v>
      </c>
      <c r="O51" s="85"/>
      <c r="P51" s="26"/>
    </row>
    <row r="52" spans="1:16" x14ac:dyDescent="0.25">
      <c r="A52" s="21" t="s">
        <v>150</v>
      </c>
      <c r="B52" s="21"/>
      <c r="C52" s="54"/>
      <c r="D52" s="22"/>
      <c r="E52" s="87"/>
      <c r="F52" s="26"/>
      <c r="G52" s="26"/>
      <c r="J52" s="18" t="s">
        <v>222</v>
      </c>
      <c r="K52" s="18"/>
      <c r="L52" s="51" t="s">
        <v>55</v>
      </c>
      <c r="M52" s="19">
        <v>0</v>
      </c>
      <c r="N52" s="85">
        <v>0</v>
      </c>
      <c r="O52" s="85"/>
      <c r="P52" s="26"/>
    </row>
    <row r="53" spans="1:16" x14ac:dyDescent="0.25">
      <c r="A53" s="21" t="s">
        <v>150</v>
      </c>
      <c r="B53" s="21"/>
      <c r="C53" s="54"/>
      <c r="D53" s="22"/>
      <c r="E53" s="87"/>
      <c r="F53" s="26"/>
      <c r="G53" s="26"/>
      <c r="J53" s="18" t="s">
        <v>223</v>
      </c>
      <c r="K53" s="18"/>
      <c r="L53" s="51" t="s">
        <v>55</v>
      </c>
      <c r="M53" s="19">
        <v>0</v>
      </c>
      <c r="N53" s="85">
        <v>0</v>
      </c>
      <c r="O53" s="85"/>
      <c r="P53" s="26"/>
    </row>
    <row r="54" spans="1:16" ht="15.75" x14ac:dyDescent="0.25">
      <c r="A54" s="29" t="s">
        <v>182</v>
      </c>
      <c r="B54" s="29"/>
      <c r="C54" s="53"/>
      <c r="D54" s="30">
        <f>SUM(D36:D50)</f>
        <v>5541000</v>
      </c>
      <c r="E54" s="86">
        <f>SUM(E43:E50)</f>
        <v>0</v>
      </c>
      <c r="F54" s="26"/>
      <c r="G54" s="26"/>
      <c r="J54" s="18" t="s">
        <v>224</v>
      </c>
      <c r="K54" s="18"/>
      <c r="L54" s="51" t="s">
        <v>55</v>
      </c>
      <c r="M54" s="19">
        <v>0</v>
      </c>
      <c r="N54" s="85">
        <v>0</v>
      </c>
      <c r="O54" s="85"/>
      <c r="P54" s="26"/>
    </row>
    <row r="55" spans="1:16" x14ac:dyDescent="0.25">
      <c r="A55" s="27" t="s">
        <v>181</v>
      </c>
      <c r="B55" s="27"/>
      <c r="C55" s="52"/>
      <c r="D55" s="28"/>
      <c r="E55" s="84"/>
      <c r="F55" s="26"/>
      <c r="G55" s="26"/>
      <c r="J55" s="18" t="s">
        <v>225</v>
      </c>
      <c r="K55" s="18"/>
      <c r="L55" s="51" t="s">
        <v>55</v>
      </c>
      <c r="M55" s="19">
        <v>0</v>
      </c>
      <c r="N55" s="85">
        <v>0</v>
      </c>
      <c r="O55" s="85"/>
      <c r="P55" s="26"/>
    </row>
    <row r="56" spans="1:16" x14ac:dyDescent="0.25">
      <c r="A56" s="18" t="s">
        <v>293</v>
      </c>
      <c r="B56" s="18"/>
      <c r="C56" s="51" t="s">
        <v>290</v>
      </c>
      <c r="D56" s="19"/>
      <c r="E56" s="85"/>
      <c r="F56" s="26"/>
      <c r="G56" s="26"/>
      <c r="J56" s="18" t="s">
        <v>226</v>
      </c>
      <c r="K56" s="18"/>
      <c r="L56" s="51" t="s">
        <v>55</v>
      </c>
      <c r="M56" s="19">
        <v>0</v>
      </c>
      <c r="N56" s="85">
        <v>0</v>
      </c>
      <c r="O56" s="85"/>
      <c r="P56" s="26"/>
    </row>
    <row r="57" spans="1:16" x14ac:dyDescent="0.25">
      <c r="A57" s="18" t="s">
        <v>185</v>
      </c>
      <c r="B57" s="18"/>
      <c r="C57" s="51" t="s">
        <v>290</v>
      </c>
      <c r="D57" s="19"/>
      <c r="E57" s="85"/>
      <c r="F57" s="26"/>
      <c r="G57" s="26"/>
      <c r="J57" s="21" t="s">
        <v>150</v>
      </c>
      <c r="K57" s="21"/>
      <c r="L57" s="54" t="s">
        <v>55</v>
      </c>
      <c r="M57" s="21"/>
      <c r="N57" s="93"/>
      <c r="O57" s="93"/>
      <c r="P57" s="26"/>
    </row>
    <row r="58" spans="1:16" x14ac:dyDescent="0.25">
      <c r="A58" s="18" t="s">
        <v>186</v>
      </c>
      <c r="B58" s="18"/>
      <c r="C58" s="51" t="s">
        <v>290</v>
      </c>
      <c r="D58" s="19"/>
      <c r="E58" s="85"/>
      <c r="F58" s="26"/>
      <c r="G58" s="26"/>
      <c r="J58" s="21" t="s">
        <v>150</v>
      </c>
      <c r="K58" s="21"/>
      <c r="L58" s="54" t="s">
        <v>55</v>
      </c>
      <c r="M58" s="21"/>
      <c r="N58" s="93"/>
      <c r="O58" s="93"/>
      <c r="P58" s="26"/>
    </row>
    <row r="59" spans="1:16" x14ac:dyDescent="0.25">
      <c r="A59" s="18" t="s">
        <v>187</v>
      </c>
      <c r="B59" s="18"/>
      <c r="C59" s="51" t="s">
        <v>290</v>
      </c>
      <c r="D59" s="19"/>
      <c r="E59" s="85"/>
      <c r="F59" s="26"/>
      <c r="G59" s="26"/>
      <c r="J59" s="21" t="s">
        <v>150</v>
      </c>
      <c r="K59" s="21"/>
      <c r="L59" s="54" t="s">
        <v>55</v>
      </c>
      <c r="M59" s="21"/>
      <c r="N59" s="93"/>
      <c r="O59" s="93"/>
      <c r="P59" s="26"/>
    </row>
    <row r="60" spans="1:16" x14ac:dyDescent="0.25">
      <c r="A60" s="18" t="s">
        <v>188</v>
      </c>
      <c r="B60" s="18"/>
      <c r="C60" s="51" t="s">
        <v>55</v>
      </c>
      <c r="D60" s="19"/>
      <c r="E60" s="85"/>
      <c r="F60" s="26"/>
      <c r="G60" s="26"/>
      <c r="J60" s="21" t="s">
        <v>150</v>
      </c>
      <c r="K60" s="21"/>
      <c r="L60" s="54" t="s">
        <v>55</v>
      </c>
      <c r="M60" s="21"/>
      <c r="N60" s="93"/>
      <c r="O60" s="93"/>
      <c r="P60" s="26"/>
    </row>
    <row r="61" spans="1:16" x14ac:dyDescent="0.25">
      <c r="A61" s="18" t="s">
        <v>194</v>
      </c>
      <c r="B61" s="18"/>
      <c r="C61" s="51" t="s">
        <v>290</v>
      </c>
      <c r="D61" s="19"/>
      <c r="E61" s="85"/>
      <c r="F61" s="26"/>
      <c r="G61" s="26"/>
      <c r="J61" s="21" t="s">
        <v>150</v>
      </c>
      <c r="K61" s="21"/>
      <c r="L61" s="54" t="s">
        <v>55</v>
      </c>
      <c r="M61" s="21"/>
      <c r="N61" s="93"/>
      <c r="O61" s="93"/>
      <c r="P61" s="26"/>
    </row>
    <row r="62" spans="1:16" x14ac:dyDescent="0.25">
      <c r="A62" s="18" t="s">
        <v>195</v>
      </c>
      <c r="B62" s="18"/>
      <c r="C62" s="51" t="s">
        <v>290</v>
      </c>
      <c r="D62" s="19"/>
      <c r="E62" s="85"/>
      <c r="F62" s="26"/>
      <c r="G62" s="26"/>
      <c r="J62" s="21" t="s">
        <v>150</v>
      </c>
      <c r="K62" s="21"/>
      <c r="L62" s="54" t="s">
        <v>55</v>
      </c>
      <c r="M62" s="21"/>
      <c r="N62" s="93"/>
      <c r="O62" s="93"/>
      <c r="P62" s="26"/>
    </row>
    <row r="63" spans="1:16" x14ac:dyDescent="0.25">
      <c r="A63" s="18" t="s">
        <v>196</v>
      </c>
      <c r="B63" s="18"/>
      <c r="C63" s="51" t="s">
        <v>294</v>
      </c>
      <c r="D63" s="19"/>
      <c r="E63" s="85"/>
      <c r="F63" s="26"/>
      <c r="G63" s="26"/>
      <c r="J63" s="21" t="s">
        <v>150</v>
      </c>
      <c r="K63" s="21"/>
      <c r="L63" s="54" t="s">
        <v>55</v>
      </c>
      <c r="M63" s="21"/>
      <c r="N63" s="93"/>
      <c r="O63" s="93"/>
      <c r="P63" s="26"/>
    </row>
    <row r="64" spans="1:16" x14ac:dyDescent="0.25">
      <c r="A64" s="18" t="s">
        <v>197</v>
      </c>
      <c r="B64" s="18"/>
      <c r="C64" s="51" t="s">
        <v>294</v>
      </c>
      <c r="D64" s="19"/>
      <c r="E64" s="85"/>
      <c r="F64" s="26"/>
      <c r="G64" s="26"/>
      <c r="J64" s="21" t="s">
        <v>150</v>
      </c>
      <c r="K64" s="21"/>
      <c r="L64" s="54" t="s">
        <v>55</v>
      </c>
      <c r="M64" s="21"/>
      <c r="N64" s="93"/>
      <c r="O64" s="93"/>
      <c r="P64" s="26"/>
    </row>
    <row r="65" spans="1:16" ht="15.75" x14ac:dyDescent="0.25">
      <c r="A65" s="21" t="s">
        <v>150</v>
      </c>
      <c r="B65" s="21"/>
      <c r="C65" s="54"/>
      <c r="D65" s="22"/>
      <c r="E65" s="87"/>
      <c r="F65" s="26"/>
      <c r="G65" s="26"/>
      <c r="J65" s="35" t="s">
        <v>235</v>
      </c>
      <c r="K65" s="35"/>
      <c r="L65" s="59"/>
      <c r="M65" s="36">
        <f>SUM(M58:M64)</f>
        <v>0</v>
      </c>
      <c r="N65" s="94">
        <f>SUM(N59:N64)</f>
        <v>0</v>
      </c>
      <c r="O65" s="94"/>
      <c r="P65" s="26"/>
    </row>
    <row r="66" spans="1:16" x14ac:dyDescent="0.25">
      <c r="A66" s="21" t="s">
        <v>150</v>
      </c>
      <c r="B66" s="21"/>
      <c r="C66" s="54"/>
      <c r="D66" s="22"/>
      <c r="E66" s="87"/>
      <c r="F66" s="26"/>
      <c r="G66" s="26"/>
      <c r="J66" s="16" t="s">
        <v>178</v>
      </c>
      <c r="K66" s="16"/>
      <c r="L66" s="55"/>
      <c r="M66" s="17">
        <v>300000</v>
      </c>
      <c r="N66" s="88"/>
      <c r="O66" s="88"/>
      <c r="P66" s="26"/>
    </row>
    <row r="67" spans="1:16" x14ac:dyDescent="0.25">
      <c r="A67" s="21" t="s">
        <v>150</v>
      </c>
      <c r="B67" s="21"/>
      <c r="C67" s="54"/>
      <c r="D67" s="22"/>
      <c r="E67" s="87"/>
      <c r="F67" s="26"/>
      <c r="G67" s="26"/>
      <c r="J67" s="18" t="s">
        <v>218</v>
      </c>
      <c r="K67" s="18"/>
      <c r="L67" s="51" t="s">
        <v>55</v>
      </c>
      <c r="M67" s="19">
        <v>150000</v>
      </c>
      <c r="N67" s="85">
        <v>0</v>
      </c>
      <c r="O67" s="85"/>
      <c r="P67" s="26"/>
    </row>
    <row r="68" spans="1:16" ht="15.75" x14ac:dyDescent="0.25">
      <c r="A68" s="29" t="s">
        <v>208</v>
      </c>
      <c r="B68" s="29"/>
      <c r="C68" s="53"/>
      <c r="D68" s="30">
        <f>SUM(D48:D64)</f>
        <v>5541000</v>
      </c>
      <c r="E68" s="86">
        <f>SUM(E55:E64)</f>
        <v>0</v>
      </c>
      <c r="F68" s="26"/>
      <c r="G68" s="26"/>
      <c r="J68" s="18" t="s">
        <v>227</v>
      </c>
      <c r="K68" s="18"/>
      <c r="L68" s="51" t="s">
        <v>55</v>
      </c>
      <c r="M68" s="19"/>
      <c r="N68" s="85"/>
      <c r="O68" s="85"/>
      <c r="P68" s="26"/>
    </row>
    <row r="69" spans="1:16" x14ac:dyDescent="0.25">
      <c r="A69" s="27" t="s">
        <v>156</v>
      </c>
      <c r="B69" s="27"/>
      <c r="C69" s="52"/>
      <c r="D69" s="28"/>
      <c r="E69" s="84"/>
      <c r="F69" s="26"/>
      <c r="G69" s="26"/>
      <c r="J69" s="18" t="s">
        <v>219</v>
      </c>
      <c r="K69" s="18"/>
      <c r="L69" s="51" t="s">
        <v>55</v>
      </c>
      <c r="M69" s="19">
        <v>0</v>
      </c>
      <c r="N69" s="85">
        <v>0</v>
      </c>
      <c r="O69" s="85"/>
      <c r="P69" s="26"/>
    </row>
    <row r="70" spans="1:16" x14ac:dyDescent="0.25">
      <c r="A70" s="18" t="s">
        <v>65</v>
      </c>
      <c r="B70" s="18"/>
      <c r="C70" s="51" t="s">
        <v>290</v>
      </c>
      <c r="D70" s="19">
        <v>250000</v>
      </c>
      <c r="E70" s="85">
        <v>0</v>
      </c>
      <c r="F70" s="26"/>
      <c r="G70" s="26"/>
      <c r="J70" s="18" t="s">
        <v>228</v>
      </c>
      <c r="K70" s="18"/>
      <c r="L70" s="51" t="s">
        <v>55</v>
      </c>
      <c r="M70" s="19">
        <v>200000</v>
      </c>
      <c r="N70" s="85">
        <v>0</v>
      </c>
      <c r="O70" s="85"/>
      <c r="P70" s="26"/>
    </row>
    <row r="71" spans="1:16" x14ac:dyDescent="0.25">
      <c r="A71" s="18" t="s">
        <v>211</v>
      </c>
      <c r="B71" s="18"/>
      <c r="C71" s="51" t="s">
        <v>290</v>
      </c>
      <c r="D71" s="19"/>
      <c r="E71" s="85">
        <v>0</v>
      </c>
      <c r="F71" s="26"/>
      <c r="G71" s="26"/>
      <c r="J71" s="18" t="s">
        <v>229</v>
      </c>
      <c r="K71" s="18"/>
      <c r="L71" s="51" t="s">
        <v>55</v>
      </c>
      <c r="M71" s="19">
        <v>0</v>
      </c>
      <c r="N71" s="85">
        <v>0</v>
      </c>
      <c r="O71" s="85"/>
      <c r="P71" s="26"/>
    </row>
    <row r="72" spans="1:16" x14ac:dyDescent="0.25">
      <c r="A72" s="18" t="s">
        <v>157</v>
      </c>
      <c r="B72" s="18"/>
      <c r="C72" s="51" t="s">
        <v>290</v>
      </c>
      <c r="D72" s="19">
        <v>0</v>
      </c>
      <c r="E72" s="85">
        <v>0</v>
      </c>
      <c r="F72" s="26"/>
      <c r="G72" s="26"/>
      <c r="J72" s="21" t="s">
        <v>150</v>
      </c>
      <c r="K72" s="21"/>
      <c r="L72" s="54" t="s">
        <v>55</v>
      </c>
      <c r="M72" s="21"/>
      <c r="N72" s="93"/>
      <c r="O72" s="93"/>
      <c r="P72" s="26"/>
    </row>
    <row r="73" spans="1:16" x14ac:dyDescent="0.25">
      <c r="A73" s="18" t="s">
        <v>158</v>
      </c>
      <c r="B73" s="18"/>
      <c r="C73" s="51" t="s">
        <v>290</v>
      </c>
      <c r="D73" s="19">
        <v>0</v>
      </c>
      <c r="E73" s="85">
        <v>0</v>
      </c>
      <c r="F73" s="26"/>
      <c r="G73" s="26"/>
      <c r="J73" s="21" t="s">
        <v>150</v>
      </c>
      <c r="K73" s="21"/>
      <c r="L73" s="54" t="s">
        <v>55</v>
      </c>
      <c r="M73" s="21"/>
      <c r="N73" s="93"/>
      <c r="O73" s="93"/>
      <c r="P73" s="26"/>
    </row>
    <row r="74" spans="1:16" x14ac:dyDescent="0.25">
      <c r="A74" s="18" t="s">
        <v>159</v>
      </c>
      <c r="B74" s="18"/>
      <c r="C74" s="51" t="s">
        <v>290</v>
      </c>
      <c r="D74" s="19">
        <v>0</v>
      </c>
      <c r="E74" s="85">
        <v>0</v>
      </c>
      <c r="F74" s="26"/>
      <c r="G74" s="26"/>
      <c r="J74" s="21" t="s">
        <v>150</v>
      </c>
      <c r="K74" s="21"/>
      <c r="L74" s="54" t="s">
        <v>55</v>
      </c>
      <c r="M74" s="21"/>
      <c r="N74" s="93"/>
      <c r="O74" s="93"/>
      <c r="P74" s="26"/>
    </row>
    <row r="75" spans="1:16" ht="15.75" x14ac:dyDescent="0.25">
      <c r="A75" s="18" t="s">
        <v>160</v>
      </c>
      <c r="B75" s="18"/>
      <c r="C75" s="51" t="s">
        <v>290</v>
      </c>
      <c r="D75" s="19">
        <v>0</v>
      </c>
      <c r="E75" s="85">
        <v>0</v>
      </c>
      <c r="F75" s="26"/>
      <c r="G75" s="26"/>
      <c r="J75" s="35" t="s">
        <v>236</v>
      </c>
      <c r="K75" s="35"/>
      <c r="L75" s="59"/>
      <c r="M75" s="36">
        <f>SUM(M62:M68)</f>
        <v>450000</v>
      </c>
      <c r="N75" s="94">
        <f>SUM(N63:N68)</f>
        <v>0</v>
      </c>
      <c r="O75" s="94"/>
      <c r="P75" s="26"/>
    </row>
    <row r="76" spans="1:16" x14ac:dyDescent="0.25">
      <c r="A76" s="18" t="s">
        <v>161</v>
      </c>
      <c r="B76" s="18"/>
      <c r="C76" s="51" t="s">
        <v>290</v>
      </c>
      <c r="D76" s="19">
        <v>0</v>
      </c>
      <c r="E76" s="85">
        <v>0</v>
      </c>
      <c r="F76" s="26"/>
      <c r="G76" s="26"/>
      <c r="J76" s="68" t="s">
        <v>253</v>
      </c>
      <c r="K76" s="68"/>
      <c r="L76" s="69"/>
      <c r="M76" s="70"/>
      <c r="N76" s="89"/>
      <c r="O76" s="89"/>
      <c r="P76" s="26"/>
    </row>
    <row r="77" spans="1:16" x14ac:dyDescent="0.25">
      <c r="A77" s="18" t="s">
        <v>203</v>
      </c>
      <c r="B77" s="18"/>
      <c r="C77" s="51" t="s">
        <v>290</v>
      </c>
      <c r="D77" s="19"/>
      <c r="E77" s="85"/>
      <c r="F77" s="26"/>
      <c r="G77" s="26"/>
      <c r="J77" s="18" t="s">
        <v>258</v>
      </c>
      <c r="K77" s="18"/>
      <c r="L77" s="51" t="s">
        <v>256</v>
      </c>
      <c r="M77" s="18"/>
      <c r="N77" s="95"/>
      <c r="O77" s="95"/>
      <c r="P77" s="26"/>
    </row>
    <row r="78" spans="1:16" x14ac:dyDescent="0.25">
      <c r="A78" s="18" t="s">
        <v>204</v>
      </c>
      <c r="B78" s="18"/>
      <c r="C78" s="51" t="s">
        <v>290</v>
      </c>
      <c r="D78" s="19"/>
      <c r="E78" s="85"/>
      <c r="F78" s="26"/>
      <c r="G78" s="26"/>
      <c r="J78" s="18" t="s">
        <v>254</v>
      </c>
      <c r="K78" s="18"/>
      <c r="L78" s="51" t="s">
        <v>256</v>
      </c>
      <c r="M78" s="18"/>
      <c r="N78" s="95"/>
      <c r="O78" s="95"/>
      <c r="P78" s="26"/>
    </row>
    <row r="79" spans="1:16" x14ac:dyDescent="0.25">
      <c r="A79" s="18" t="s">
        <v>201</v>
      </c>
      <c r="B79" s="18"/>
      <c r="C79" s="51" t="s">
        <v>290</v>
      </c>
      <c r="D79" s="19"/>
      <c r="E79" s="85"/>
      <c r="F79" s="26"/>
      <c r="G79" s="26"/>
      <c r="J79" s="18" t="s">
        <v>255</v>
      </c>
      <c r="K79" s="18"/>
      <c r="L79" s="51" t="s">
        <v>256</v>
      </c>
      <c r="M79" s="18"/>
      <c r="N79" s="95"/>
      <c r="O79" s="95"/>
      <c r="P79" s="26"/>
    </row>
    <row r="80" spans="1:16" ht="15.75" x14ac:dyDescent="0.25">
      <c r="A80" s="18" t="s">
        <v>202</v>
      </c>
      <c r="B80" s="18"/>
      <c r="C80" s="51" t="s">
        <v>290</v>
      </c>
      <c r="D80" s="19"/>
      <c r="E80" s="85"/>
      <c r="F80" s="26"/>
      <c r="G80" s="26"/>
      <c r="J80" s="35" t="s">
        <v>257</v>
      </c>
      <c r="K80" s="35"/>
      <c r="L80" s="59"/>
      <c r="M80" s="36"/>
      <c r="N80" s="94">
        <f>SUM(N69:N74)</f>
        <v>0</v>
      </c>
      <c r="O80" s="94"/>
      <c r="P80" s="26"/>
    </row>
    <row r="81" spans="1:16" ht="18.75" x14ac:dyDescent="0.3">
      <c r="A81" s="18" t="s">
        <v>200</v>
      </c>
      <c r="B81" s="18"/>
      <c r="C81" s="51" t="s">
        <v>290</v>
      </c>
      <c r="D81" s="19"/>
      <c r="E81" s="85"/>
      <c r="F81" s="26"/>
      <c r="G81" s="26"/>
      <c r="J81" s="40" t="s">
        <v>179</v>
      </c>
      <c r="K81" s="40"/>
      <c r="L81" s="60"/>
      <c r="M81" s="41">
        <f>SUM(M14:M71)</f>
        <v>60810000</v>
      </c>
      <c r="N81" s="96">
        <f>SUM(N14:N71)</f>
        <v>0</v>
      </c>
      <c r="O81" s="96"/>
      <c r="P81" s="26"/>
    </row>
    <row r="82" spans="1:16" ht="18.75" x14ac:dyDescent="0.3">
      <c r="A82" s="18" t="s">
        <v>205</v>
      </c>
      <c r="B82" s="18"/>
      <c r="C82" s="51" t="s">
        <v>290</v>
      </c>
      <c r="D82" s="19"/>
      <c r="E82" s="85"/>
      <c r="F82" s="26"/>
      <c r="G82" s="26"/>
      <c r="J82" s="42" t="s">
        <v>180</v>
      </c>
      <c r="K82" s="42"/>
      <c r="L82" s="61"/>
      <c r="M82" s="43">
        <f>M12-M81</f>
        <v>-30810000</v>
      </c>
      <c r="N82" s="97">
        <f>N12-N81</f>
        <v>0</v>
      </c>
      <c r="O82" s="97"/>
      <c r="P82" s="26"/>
    </row>
    <row r="83" spans="1:16" ht="18.75" x14ac:dyDescent="0.3">
      <c r="A83" s="18" t="s">
        <v>206</v>
      </c>
      <c r="B83" s="18"/>
      <c r="C83" s="51" t="s">
        <v>290</v>
      </c>
      <c r="D83" s="19"/>
      <c r="E83" s="85"/>
      <c r="F83" s="26"/>
      <c r="G83" s="26"/>
      <c r="J83" s="37"/>
      <c r="K83" s="37"/>
      <c r="L83" s="50"/>
      <c r="M83" s="37"/>
      <c r="N83" s="37"/>
      <c r="O83" s="37"/>
      <c r="P83" s="26"/>
    </row>
    <row r="84" spans="1:16" ht="18.75" x14ac:dyDescent="0.3">
      <c r="A84" s="18" t="s">
        <v>162</v>
      </c>
      <c r="B84" s="18"/>
      <c r="C84" s="51" t="s">
        <v>290</v>
      </c>
      <c r="D84" s="19">
        <v>0</v>
      </c>
      <c r="E84" s="85">
        <v>0</v>
      </c>
      <c r="F84" s="26"/>
      <c r="G84" s="26"/>
      <c r="J84" s="38" t="s">
        <v>237</v>
      </c>
      <c r="K84" s="38"/>
      <c r="L84" s="62"/>
      <c r="M84" s="39">
        <f>D108+M82</f>
        <v>-75473999</v>
      </c>
      <c r="N84" s="98">
        <f>E108+N82</f>
        <v>0</v>
      </c>
      <c r="O84" s="98"/>
      <c r="P84" s="26"/>
    </row>
    <row r="85" spans="1:16" x14ac:dyDescent="0.25">
      <c r="A85" s="21" t="s">
        <v>150</v>
      </c>
      <c r="B85" s="21"/>
      <c r="C85" s="54"/>
      <c r="D85" s="22"/>
      <c r="E85" s="87"/>
      <c r="F85" s="26"/>
      <c r="G85" s="26"/>
    </row>
    <row r="86" spans="1:16" x14ac:dyDescent="0.25">
      <c r="A86" s="21" t="s">
        <v>150</v>
      </c>
      <c r="B86" s="21"/>
      <c r="C86" s="54"/>
      <c r="D86" s="22"/>
      <c r="E86" s="87"/>
      <c r="F86" s="26"/>
      <c r="G86" s="26"/>
    </row>
    <row r="87" spans="1:16" x14ac:dyDescent="0.25">
      <c r="A87" s="21" t="s">
        <v>150</v>
      </c>
      <c r="B87" s="21"/>
      <c r="C87" s="54"/>
      <c r="D87" s="22"/>
      <c r="E87" s="87"/>
      <c r="F87" s="26"/>
      <c r="G87" s="26"/>
    </row>
    <row r="88" spans="1:16" ht="15.75" x14ac:dyDescent="0.25">
      <c r="A88" s="29" t="s">
        <v>207</v>
      </c>
      <c r="B88" s="29"/>
      <c r="C88" s="53"/>
      <c r="D88" s="30">
        <f>SUM(D66:D84)</f>
        <v>5791000</v>
      </c>
      <c r="E88" s="86">
        <f>SUM(E75:E84)</f>
        <v>0</v>
      </c>
      <c r="F88" s="26"/>
      <c r="G88" s="26"/>
    </row>
    <row r="89" spans="1:16" x14ac:dyDescent="0.25">
      <c r="A89" s="16" t="s">
        <v>163</v>
      </c>
      <c r="B89" s="16"/>
      <c r="C89" s="55"/>
      <c r="D89" s="17">
        <v>600000</v>
      </c>
      <c r="E89" s="88"/>
      <c r="F89" s="26"/>
      <c r="G89" s="26"/>
    </row>
    <row r="90" spans="1:16" x14ac:dyDescent="0.25">
      <c r="A90" s="18" t="s">
        <v>85</v>
      </c>
      <c r="B90" s="18"/>
      <c r="C90" s="51" t="s">
        <v>55</v>
      </c>
      <c r="D90" s="19">
        <v>400000</v>
      </c>
      <c r="E90" s="85">
        <v>0</v>
      </c>
      <c r="F90" s="26"/>
      <c r="G90" s="26"/>
    </row>
    <row r="91" spans="1:16" x14ac:dyDescent="0.25">
      <c r="A91" s="18" t="s">
        <v>83</v>
      </c>
      <c r="B91" s="18"/>
      <c r="C91" s="51" t="s">
        <v>55</v>
      </c>
      <c r="D91" s="19">
        <v>200000</v>
      </c>
      <c r="E91" s="85">
        <v>0</v>
      </c>
      <c r="F91" s="26"/>
      <c r="G91" s="26"/>
    </row>
    <row r="92" spans="1:16" x14ac:dyDescent="0.25">
      <c r="A92" s="18" t="s">
        <v>238</v>
      </c>
      <c r="B92" s="18"/>
      <c r="C92" s="51" t="s">
        <v>55</v>
      </c>
      <c r="D92" s="19"/>
      <c r="E92" s="85"/>
      <c r="F92" s="26"/>
      <c r="G92" s="26"/>
    </row>
    <row r="93" spans="1:16" x14ac:dyDescent="0.25">
      <c r="A93" s="18" t="s">
        <v>239</v>
      </c>
      <c r="B93" s="18"/>
      <c r="C93" s="51" t="s">
        <v>55</v>
      </c>
      <c r="D93" s="19"/>
      <c r="E93" s="85"/>
      <c r="F93" s="26"/>
      <c r="G93" s="26"/>
    </row>
    <row r="94" spans="1:16" x14ac:dyDescent="0.25">
      <c r="A94" s="18" t="s">
        <v>240</v>
      </c>
      <c r="B94" s="18"/>
      <c r="C94" s="51" t="s">
        <v>55</v>
      </c>
      <c r="D94" s="19"/>
      <c r="E94" s="85"/>
      <c r="F94" s="26"/>
      <c r="G94" s="26"/>
    </row>
    <row r="95" spans="1:16" x14ac:dyDescent="0.25">
      <c r="A95" s="18" t="s">
        <v>164</v>
      </c>
      <c r="B95" s="18"/>
      <c r="C95" s="51" t="s">
        <v>55</v>
      </c>
      <c r="D95" s="19"/>
      <c r="E95" s="85"/>
      <c r="F95" s="26"/>
      <c r="G95" s="26"/>
    </row>
    <row r="96" spans="1:16" x14ac:dyDescent="0.25">
      <c r="A96" s="18" t="s">
        <v>165</v>
      </c>
      <c r="B96" s="18"/>
      <c r="C96" s="51" t="s">
        <v>55</v>
      </c>
      <c r="D96" s="19"/>
      <c r="E96" s="85"/>
      <c r="F96" s="26"/>
      <c r="G96" s="26"/>
    </row>
    <row r="97" spans="1:7" x14ac:dyDescent="0.25">
      <c r="A97" s="18" t="s">
        <v>166</v>
      </c>
      <c r="B97" s="18"/>
      <c r="C97" s="51" t="s">
        <v>55</v>
      </c>
      <c r="D97" s="19"/>
      <c r="E97" s="85"/>
      <c r="F97" s="26"/>
      <c r="G97" s="26"/>
    </row>
    <row r="98" spans="1:7" x14ac:dyDescent="0.25">
      <c r="A98" s="18" t="s">
        <v>167</v>
      </c>
      <c r="B98" s="18"/>
      <c r="C98" s="51" t="s">
        <v>55</v>
      </c>
      <c r="D98" s="19">
        <v>300000</v>
      </c>
      <c r="E98" s="85">
        <v>0</v>
      </c>
      <c r="F98" s="26"/>
      <c r="G98" s="26"/>
    </row>
    <row r="99" spans="1:7" x14ac:dyDescent="0.25">
      <c r="A99" s="21" t="s">
        <v>150</v>
      </c>
      <c r="B99" s="21"/>
      <c r="C99" s="54"/>
      <c r="D99" s="22"/>
      <c r="E99" s="87"/>
      <c r="F99" s="26"/>
      <c r="G99" s="26"/>
    </row>
    <row r="100" spans="1:7" x14ac:dyDescent="0.25">
      <c r="A100" s="21" t="s">
        <v>150</v>
      </c>
      <c r="B100" s="21"/>
      <c r="C100" s="54"/>
      <c r="D100" s="22"/>
      <c r="E100" s="87"/>
      <c r="F100" s="26"/>
      <c r="G100" s="26"/>
    </row>
    <row r="101" spans="1:7" x14ac:dyDescent="0.25">
      <c r="A101" s="21" t="s">
        <v>150</v>
      </c>
      <c r="B101" s="21"/>
      <c r="C101" s="54"/>
      <c r="D101" s="22"/>
      <c r="E101" s="87"/>
      <c r="F101" s="26"/>
      <c r="G101" s="26"/>
    </row>
    <row r="102" spans="1:7" ht="15.75" x14ac:dyDescent="0.25">
      <c r="A102" s="29" t="s">
        <v>210</v>
      </c>
      <c r="B102" s="29"/>
      <c r="C102" s="53"/>
      <c r="D102" s="30">
        <f>SUM(D78:D98)</f>
        <v>7291000</v>
      </c>
      <c r="E102" s="86">
        <f>SUM(E87:E98)</f>
        <v>0</v>
      </c>
      <c r="F102" s="26"/>
      <c r="G102" s="26"/>
    </row>
    <row r="103" spans="1:7" x14ac:dyDescent="0.25">
      <c r="A103" s="68" t="s">
        <v>249</v>
      </c>
      <c r="B103" s="68"/>
      <c r="C103" s="69"/>
      <c r="D103" s="70"/>
      <c r="E103" s="89"/>
      <c r="F103" s="26"/>
      <c r="G103" s="26"/>
    </row>
    <row r="104" spans="1:7" ht="15.75" x14ac:dyDescent="0.25">
      <c r="A104" s="65" t="s">
        <v>250</v>
      </c>
      <c r="B104" s="65"/>
      <c r="C104" s="51" t="s">
        <v>297</v>
      </c>
      <c r="D104" s="67"/>
      <c r="E104" s="90"/>
      <c r="F104" s="26"/>
      <c r="G104" s="26"/>
    </row>
    <row r="105" spans="1:7" ht="15.75" x14ac:dyDescent="0.25">
      <c r="A105" s="65" t="s">
        <v>251</v>
      </c>
      <c r="B105" s="65"/>
      <c r="C105" s="51" t="s">
        <v>297</v>
      </c>
      <c r="D105" s="67"/>
      <c r="E105" s="90"/>
      <c r="F105" s="26"/>
      <c r="G105" s="26"/>
    </row>
    <row r="106" spans="1:7" ht="15.75" x14ac:dyDescent="0.25">
      <c r="A106" s="29" t="s">
        <v>252</v>
      </c>
      <c r="B106" s="29"/>
      <c r="C106" s="53"/>
      <c r="D106" s="30"/>
      <c r="E106" s="86">
        <f>SUM(E93:E102)</f>
        <v>0</v>
      </c>
      <c r="F106" s="26"/>
      <c r="G106" s="26"/>
    </row>
    <row r="107" spans="1:7" ht="18.75" x14ac:dyDescent="0.3">
      <c r="A107" s="31" t="s">
        <v>41</v>
      </c>
      <c r="B107" s="31"/>
      <c r="C107" s="56"/>
      <c r="D107" s="32">
        <f>SUM(D21:D98)</f>
        <v>59863998</v>
      </c>
      <c r="E107" s="91">
        <f>SUM(E21:E98)</f>
        <v>0</v>
      </c>
      <c r="F107" s="26"/>
      <c r="G107" s="26"/>
    </row>
    <row r="108" spans="1:7" ht="18.75" x14ac:dyDescent="0.3">
      <c r="A108" s="33" t="s">
        <v>168</v>
      </c>
      <c r="B108" s="33"/>
      <c r="C108" s="57"/>
      <c r="D108" s="34">
        <f>D19-D107</f>
        <v>-44663999</v>
      </c>
      <c r="E108" s="92">
        <f>E19-E107</f>
        <v>0</v>
      </c>
      <c r="F108" s="26"/>
      <c r="G108" s="26"/>
    </row>
    <row r="109" spans="1:7" x14ac:dyDescent="0.25">
      <c r="C109" s="58"/>
      <c r="F109" s="26"/>
      <c r="G109" s="26"/>
    </row>
    <row r="110" spans="1:7" ht="28.5" customHeight="1" x14ac:dyDescent="0.25"/>
    <row r="192" spans="3:3" x14ac:dyDescent="0.25">
      <c r="C192" s="58"/>
    </row>
  </sheetData>
  <mergeCells count="3">
    <mergeCell ref="A3:G3"/>
    <mergeCell ref="J3:P3"/>
    <mergeCell ref="A1:P1"/>
  </mergeCells>
  <dataValidations disablePrompts="1" count="1">
    <dataValidation type="list" sqref="C2" xr:uid="{01F4C0BC-6E87-4593-B348-3D2B0EA6C665}">
      <formula1>"Enero 2026,Febrero 2026,Marzo 2026,Abril 2026,Mayo 2026,Junio 2026,Julio 2026,Agosto 2026,Septiembre 2026,Octubre 2026,Noviembre 2026,Diciembre 2026"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CONFIGURACIÓN</vt:lpstr>
      <vt:lpstr>TABLERO</vt:lpstr>
      <vt:lpstr>PRESUPUESTO</vt:lpstr>
      <vt:lpstr>GASTOS FIJOS</vt:lpstr>
      <vt:lpstr>CARGA</vt:lpstr>
      <vt:lpstr>MOVIMIENTO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ESQUIVEL BARRETO MARCO ANTONIO</cp:lastModifiedBy>
  <cp:lastPrinted>2025-12-29T19:38:08Z</cp:lastPrinted>
  <dcterms:created xsi:type="dcterms:W3CDTF">2025-12-23T22:21:25Z</dcterms:created>
  <dcterms:modified xsi:type="dcterms:W3CDTF">2025-12-29T19:52:29Z</dcterms:modified>
</cp:coreProperties>
</file>