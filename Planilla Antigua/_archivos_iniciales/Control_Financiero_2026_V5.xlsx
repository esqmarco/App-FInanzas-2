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ABLERO" sheetId="2" state="visible" r:id="rId2"/>
    <sheet name="PRESUPUESTO" sheetId="3" state="visible" r:id="rId3"/>
    <sheet name="GASTOS_FIJOS" sheetId="4" state="visible" r:id="rId4"/>
    <sheet name="CARGA_FAMILIA" sheetId="5" state="visible" r:id="rId5"/>
    <sheet name="CARGA_NT" sheetId="6" state="visible" r:id="rId6"/>
    <sheet name="MOVIMIENTO" sheetId="7" state="visible" r:id="rId7"/>
    <sheet name="CARG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DD/MM/YYYY"/>
  </numFmts>
  <fonts count="22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sz val="12"/>
    </font>
    <font>
      <name val="Cambria"/>
      <charset val="1"/>
      <family val="0"/>
      <b val="1"/>
      <sz val="14"/>
    </font>
    <font>
      <name val="Calibri"/>
      <charset val="1"/>
      <family val="2"/>
      <color theme="1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375623"/>
      <sz val="11"/>
    </font>
    <font>
      <name val="Cambria"/>
      <charset val="1"/>
      <family val="0"/>
      <b val="1"/>
      <color rgb="FF1F4E79"/>
      <sz val="11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color rgb="FF404040"/>
      <sz val="9"/>
    </font>
    <font>
      <name val="Cambria"/>
      <charset val="1"/>
      <family val="0"/>
      <b val="1"/>
      <sz val="10"/>
    </font>
    <font>
      <name val="Cambria"/>
      <charset val="1"/>
      <family val="0"/>
      <color rgb="FFFFFFFF"/>
      <sz val="9"/>
    </font>
    <font>
      <name val="Cambria"/>
      <charset val="1"/>
      <family val="0"/>
      <b val="1"/>
      <color rgb="FF843C0C"/>
      <sz val="12"/>
    </font>
    <font>
      <name val="Cambria"/>
      <charset val="1"/>
      <family val="0"/>
      <i val="1"/>
      <color rgb="FF404040"/>
      <sz val="9"/>
    </font>
    <font>
      <name val="Cambria"/>
      <charset val="1"/>
      <family val="0"/>
      <color rgb="FF0000FF"/>
      <sz val="11"/>
    </font>
    <font>
      <name val="Cambria"/>
      <charset val="1"/>
      <family val="0"/>
      <i val="1"/>
      <sz val="9"/>
    </font>
    <font>
      <b val="1"/>
      <color rgb="00FFFFFF"/>
      <sz val="14"/>
    </font>
    <font>
      <i val="1"/>
      <sz val="9"/>
    </font>
    <font>
      <b val="1"/>
      <color rgb="00FFFFFF"/>
      <sz val="11"/>
    </font>
  </fonts>
  <fills count="21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FF1F4E79"/>
        <bgColor rgb="FF003366"/>
      </patternFill>
    </fill>
    <fill>
      <patternFill patternType="solid">
        <fgColor rgb="FFFFEB9C"/>
        <bgColor rgb="FFF2F2F2"/>
      </patternFill>
    </fill>
    <fill>
      <patternFill patternType="solid">
        <fgColor rgb="FF375623"/>
        <bgColor rgb="FF404040"/>
      </patternFill>
    </fill>
    <fill>
      <patternFill patternType="solid">
        <fgColor rgb="FF548235"/>
        <bgColor rgb="FF339966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FF8080"/>
      </patternFill>
    </fill>
    <fill>
      <patternFill patternType="solid">
        <fgColor rgb="FF0891B2"/>
        <bgColor rgb="FF008080"/>
      </patternFill>
    </fill>
    <fill>
      <patternFill patternType="solid">
        <fgColor rgb="FF2E75B6"/>
        <bgColor rgb="FF0066CC"/>
      </patternFill>
    </fill>
    <fill>
      <patternFill patternType="solid">
        <fgColor rgb="FFFFC7CE"/>
        <bgColor rgb="FFE8D5E8"/>
      </patternFill>
    </fill>
    <fill>
      <patternFill patternType="solid">
        <fgColor rgb="FFE8D5E8"/>
        <bgColor rgb="FFD9D9D9"/>
      </patternFill>
    </fill>
    <fill>
      <patternFill patternType="solid">
        <fgColor rgb="FF843C0C"/>
        <bgColor rgb="FF993366"/>
      </patternFill>
    </fill>
    <fill>
      <patternFill patternType="solid">
        <fgColor rgb="FF404040"/>
        <bgColor rgb="FF375623"/>
      </patternFill>
    </fill>
    <fill>
      <patternFill patternType="solid">
        <fgColor rgb="00059669"/>
        <bgColor rgb="00059669"/>
      </patternFill>
    </fill>
    <fill>
      <patternFill patternType="solid">
        <fgColor rgb="001F2937"/>
        <bgColor rgb="001F2937"/>
      </patternFill>
    </fill>
    <fill>
      <patternFill patternType="solid">
        <fgColor rgb="001D4ED8"/>
        <bgColor rgb="001D4ED8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bottom"/>
    </xf>
    <xf numFmtId="0" fontId="12" fillId="7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bottom"/>
    </xf>
    <xf numFmtId="3" fontId="6" fillId="0" borderId="1" applyAlignment="1" pivotButton="0" quotePrefix="0" xfId="0">
      <alignment horizontal="right" vertical="bottom"/>
    </xf>
    <xf numFmtId="3" fontId="6" fillId="0" borderId="1" applyAlignment="1" pivotButton="0" quotePrefix="0" xfId="0">
      <alignment horizontal="general" vertical="bottom"/>
    </xf>
    <xf numFmtId="3" fontId="4" fillId="7" borderId="0" applyAlignment="1" pivotButton="0" quotePrefix="0" xfId="0">
      <alignment horizontal="general" vertical="bottom"/>
    </xf>
    <xf numFmtId="3" fontId="4" fillId="8" borderId="0" applyAlignment="1" pivotButton="0" quotePrefix="0" xfId="0">
      <alignment horizontal="general" vertical="bottom"/>
    </xf>
    <xf numFmtId="0" fontId="12" fillId="9" borderId="0" applyAlignment="1" pivotButton="0" quotePrefix="0" xfId="0">
      <alignment horizontal="general" vertical="bottom"/>
    </xf>
    <xf numFmtId="3" fontId="4" fillId="9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10" borderId="0" applyAlignment="1" pivotButton="0" quotePrefix="0" xfId="0">
      <alignment horizontal="center" vertical="bottom"/>
    </xf>
    <xf numFmtId="0" fontId="14" fillId="11" borderId="0" applyAlignment="1" pivotButton="0" quotePrefix="0" xfId="0">
      <alignment horizontal="center" vertical="bottom"/>
    </xf>
    <xf numFmtId="0" fontId="14" fillId="12" borderId="0" applyAlignment="1" pivotButton="0" quotePrefix="0" xfId="0">
      <alignment horizontal="center" vertical="bottom"/>
    </xf>
    <xf numFmtId="3" fontId="7" fillId="10" borderId="0" applyAlignment="1" pivotButton="0" quotePrefix="0" xfId="0">
      <alignment horizontal="center" vertical="bottom"/>
    </xf>
    <xf numFmtId="3" fontId="7" fillId="11" borderId="0" applyAlignment="1" pivotButton="0" quotePrefix="0" xfId="0">
      <alignment horizontal="center" vertical="bottom"/>
    </xf>
    <xf numFmtId="3" fontId="7" fillId="12" borderId="0" applyAlignment="1" pivotButton="0" quotePrefix="0" xfId="0">
      <alignment horizontal="center" vertical="bottom"/>
    </xf>
    <xf numFmtId="9" fontId="6" fillId="0" borderId="1" applyAlignment="1" pivotButton="0" quotePrefix="0" xfId="0">
      <alignment horizontal="center" vertical="bottom"/>
    </xf>
    <xf numFmtId="0" fontId="11" fillId="13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left" vertical="bottom"/>
    </xf>
    <xf numFmtId="3" fontId="6" fillId="4" borderId="1" applyAlignment="1" pivotButton="0" quotePrefix="0" xfId="0">
      <alignment horizontal="right" vertical="bottom"/>
    </xf>
    <xf numFmtId="0" fontId="6" fillId="4" borderId="1" applyAlignment="1" pivotButton="0" quotePrefix="0" xfId="0">
      <alignment horizontal="general" vertical="bottom"/>
    </xf>
    <xf numFmtId="0" fontId="6" fillId="9" borderId="2" applyAlignment="1" pivotButton="0" quotePrefix="0" xfId="0">
      <alignment horizontal="left" vertical="bottom"/>
    </xf>
    <xf numFmtId="0" fontId="0" fillId="0" borderId="3" pivotButton="0" quotePrefix="0" xfId="0"/>
    <xf numFmtId="3" fontId="6" fillId="9" borderId="1" applyAlignment="1" pivotButton="0" quotePrefix="0" xfId="0">
      <alignment horizontal="right" vertical="bottom"/>
    </xf>
    <xf numFmtId="0" fontId="6" fillId="14" borderId="2" applyAlignment="1" pivotButton="0" quotePrefix="0" xfId="0">
      <alignment horizontal="left" vertical="bottom"/>
    </xf>
    <xf numFmtId="3" fontId="6" fillId="14" borderId="1" applyAlignment="1" pivotButton="0" quotePrefix="0" xfId="0">
      <alignment horizontal="right" vertical="bottom"/>
    </xf>
    <xf numFmtId="0" fontId="6" fillId="4" borderId="2" applyAlignment="1" pivotButton="0" quotePrefix="0" xfId="0">
      <alignment horizontal="left" vertical="bottom"/>
    </xf>
    <xf numFmtId="0" fontId="8" fillId="5" borderId="2" applyAlignment="1" pivotButton="0" quotePrefix="0" xfId="0">
      <alignment horizontal="left" vertical="bottom"/>
    </xf>
    <xf numFmtId="3" fontId="8" fillId="5" borderId="1" applyAlignment="1" pivotButton="0" quotePrefix="0" xfId="0">
      <alignment horizontal="right" vertical="bottom"/>
    </xf>
    <xf numFmtId="0" fontId="7" fillId="8" borderId="1" applyAlignment="1" pivotButton="0" quotePrefix="0" xfId="0">
      <alignment horizontal="left" vertical="bottom"/>
    </xf>
    <xf numFmtId="3" fontId="7" fillId="8" borderId="1" applyAlignment="1" pivotButton="0" quotePrefix="0" xfId="0">
      <alignment horizontal="right" vertical="bottom"/>
    </xf>
    <xf numFmtId="0" fontId="8" fillId="10" borderId="0" applyAlignment="1" pivotButton="0" quotePrefix="0" xfId="0">
      <alignment horizontal="center" vertical="bottom"/>
    </xf>
    <xf numFmtId="0" fontId="11" fillId="10" borderId="1" applyAlignment="1" pivotButton="0" quotePrefix="0" xfId="0">
      <alignment horizontal="center" vertical="bottom"/>
    </xf>
    <xf numFmtId="0" fontId="15" fillId="14" borderId="0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bottom"/>
    </xf>
    <xf numFmtId="3" fontId="7" fillId="15" borderId="1" applyAlignment="1" pivotButton="0" quotePrefix="0" xfId="0">
      <alignment horizontal="right" vertical="bottom"/>
    </xf>
    <xf numFmtId="0" fontId="16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11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left" vertical="bottom"/>
    </xf>
    <xf numFmtId="3" fontId="17" fillId="0" borderId="1" applyAlignment="1" pivotButton="0" quotePrefix="0" xfId="0">
      <alignment horizontal="right" vertical="bottom"/>
    </xf>
    <xf numFmtId="3" fontId="7" fillId="0" borderId="1" applyAlignment="1" pivotButton="0" quotePrefix="0" xfId="0">
      <alignment horizontal="general" vertical="bottom"/>
    </xf>
    <xf numFmtId="0" fontId="7" fillId="9" borderId="1" applyAlignment="1" pivotButton="0" quotePrefix="0" xfId="0">
      <alignment horizontal="left" vertical="bottom"/>
    </xf>
    <xf numFmtId="0" fontId="6" fillId="9" borderId="1" applyAlignment="1" pivotButton="0" quotePrefix="0" xfId="0">
      <alignment horizontal="general" vertical="bottom"/>
    </xf>
    <xf numFmtId="3" fontId="7" fillId="9" borderId="1" applyAlignment="1" pivotButton="0" quotePrefix="0" xfId="0">
      <alignment horizontal="general" vertical="bottom"/>
    </xf>
    <xf numFmtId="0" fontId="8" fillId="16" borderId="0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3" fontId="6" fillId="8" borderId="1" applyAlignment="1" pivotButton="0" quotePrefix="0" xfId="0">
      <alignment horizontal="general" vertical="bottom"/>
    </xf>
    <xf numFmtId="3" fontId="7" fillId="8" borderId="1" applyAlignment="1" pivotButton="0" quotePrefix="0" xfId="0">
      <alignment horizontal="general" vertical="bottom"/>
    </xf>
    <xf numFmtId="0" fontId="7" fillId="14" borderId="1" applyAlignment="1" pivotButton="0" quotePrefix="0" xfId="0">
      <alignment horizontal="left" vertical="bottom"/>
    </xf>
    <xf numFmtId="0" fontId="6" fillId="14" borderId="1" applyAlignment="1" pivotButton="0" quotePrefix="0" xfId="0">
      <alignment horizontal="general" vertical="bottom"/>
    </xf>
    <xf numFmtId="3" fontId="7" fillId="14" borderId="1" applyAlignment="1" pivotButton="0" quotePrefix="0" xfId="0">
      <alignment horizontal="general" vertical="bottom"/>
    </xf>
    <xf numFmtId="3" fontId="7" fillId="4" borderId="1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8" fillId="10" borderId="0" applyAlignment="1" pivotButton="0" quotePrefix="0" xfId="0">
      <alignment horizontal="general" vertical="bottom"/>
    </xf>
    <xf numFmtId="0" fontId="6" fillId="15" borderId="1" applyAlignment="1" pivotButton="0" quotePrefix="0" xfId="0">
      <alignment horizontal="left" vertical="bottom"/>
    </xf>
    <xf numFmtId="0" fontId="6" fillId="15" borderId="1" applyAlignment="1" pivotButton="0" quotePrefix="0" xfId="0">
      <alignment horizontal="general" vertical="bottom"/>
    </xf>
    <xf numFmtId="3" fontId="7" fillId="15" borderId="1" applyAlignment="1" pivotButton="0" quotePrefix="0" xfId="0">
      <alignment horizontal="general" vertical="bottom"/>
    </xf>
    <xf numFmtId="3" fontId="6" fillId="15" borderId="1" applyAlignment="1" pivotButton="0" quotePrefix="0" xfId="0">
      <alignment horizontal="general" vertical="bottom"/>
    </xf>
    <xf numFmtId="0" fontId="3" fillId="16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general" vertical="bottom"/>
    </xf>
    <xf numFmtId="0" fontId="11" fillId="16" borderId="1" applyAlignment="1" pivotButton="0" quotePrefix="0" xfId="0">
      <alignment horizontal="center" vertical="bottom"/>
    </xf>
    <xf numFmtId="0" fontId="11" fillId="17" borderId="1" applyAlignment="1" pivotButton="0" quotePrefix="0" xfId="0">
      <alignment horizontal="center" vertical="bottom"/>
    </xf>
    <xf numFmtId="0" fontId="8" fillId="17" borderId="0" applyAlignment="1" pivotButton="0" quotePrefix="0" xfId="0">
      <alignment horizontal="general" vertical="bottom"/>
    </xf>
    <xf numFmtId="0" fontId="19" fillId="18" borderId="0" pivotButton="0" quotePrefix="0" xfId="0"/>
    <xf numFmtId="0" fontId="20" fillId="0" borderId="0" pivotButton="0" quotePrefix="0" xfId="0"/>
    <xf numFmtId="0" fontId="21" fillId="19" borderId="5" applyAlignment="1" pivotButton="0" quotePrefix="0" xfId="0">
      <alignment horizontal="center" vertical="center"/>
    </xf>
    <xf numFmtId="166" fontId="0" fillId="0" borderId="5" pivotButton="0" quotePrefix="0" xfId="0"/>
    <xf numFmtId="0" fontId="0" fillId="0" borderId="5" pivotButton="0" quotePrefix="0" xfId="0"/>
    <xf numFmtId="3" fontId="0" fillId="0" borderId="5" pivotButton="0" quotePrefix="0" xfId="0"/>
    <xf numFmtId="0" fontId="19" fillId="20" borderId="0" pivotButton="0" quotePrefix="0" xfId="0"/>
    <xf numFmtId="0" fontId="4" fillId="4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left" vertical="bottom"/>
    </xf>
    <xf numFmtId="0" fontId="6" fillId="10" borderId="1" applyAlignment="1" pivotButton="0" quotePrefix="0" xfId="0">
      <alignment horizontal="general" vertical="bottom"/>
    </xf>
    <xf numFmtId="0" fontId="3" fillId="11" borderId="0" applyAlignment="1" pivotButton="0" quotePrefix="0" xfId="0">
      <alignment horizontal="center" vertical="center"/>
    </xf>
    <xf numFmtId="165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CONFIGURACIÓN DEL SISTEMA - CONTROL FINANCIERO 2026</t>
        </is>
      </c>
    </row>
    <row r="3">
      <c r="A3" s="2" t="inlineStr">
        <is>
          <t>ENTIDAD</t>
        </is>
      </c>
      <c r="B3" s="2" t="inlineStr">
        <is>
          <t>TIPO MOV.</t>
        </is>
      </c>
      <c r="C3" s="2" t="inlineStr">
        <is>
          <t>FRECUENCIA</t>
        </is>
      </c>
      <c r="D3" s="2" t="inlineStr">
        <is>
          <t>ESTADO</t>
        </is>
      </c>
      <c r="E3" s="2" t="inlineStr">
        <is>
          <t>CUENTAS FAMILIA</t>
        </is>
      </c>
      <c r="F3" s="2" t="inlineStr">
        <is>
          <t>CUENTAS NT</t>
        </is>
      </c>
      <c r="G3" s="2" t="inlineStr">
        <is>
          <t>MESES</t>
        </is>
      </c>
      <c r="H3" s="2" t="inlineStr">
        <is>
          <t>META</t>
        </is>
      </c>
      <c r="I3" s="2" t="inlineStr">
        <is>
          <t>VALOR</t>
        </is>
      </c>
    </row>
    <row r="4">
      <c r="A4" t="inlineStr">
        <is>
          <t>Familia</t>
        </is>
      </c>
      <c r="B4" t="inlineStr">
        <is>
          <t>Ingreso</t>
        </is>
      </c>
      <c r="C4" t="inlineStr">
        <is>
          <t>Fijo/Mensual</t>
        </is>
      </c>
      <c r="D4" t="inlineStr">
        <is>
          <t>Pendiente</t>
        </is>
      </c>
      <c r="E4" t="inlineStr">
        <is>
          <t>ITAU Marco</t>
        </is>
      </c>
      <c r="F4" t="inlineStr">
        <is>
          <t>Atlas NeuroTEA</t>
        </is>
      </c>
      <c r="G4" t="inlineStr">
        <is>
          <t>Enero</t>
        </is>
      </c>
      <c r="H4" t="inlineStr">
        <is>
          <t>% Ganancia Meta</t>
        </is>
      </c>
      <c r="I4" t="inlineStr">
        <is>
          <t>7%</t>
        </is>
      </c>
    </row>
    <row r="5">
      <c r="A5" t="inlineStr">
        <is>
          <t>NeuroTEA</t>
        </is>
      </c>
      <c r="B5" t="inlineStr">
        <is>
          <t>Egreso</t>
        </is>
      </c>
      <c r="C5" t="inlineStr">
        <is>
          <t>Variable/Mensual</t>
        </is>
      </c>
      <c r="D5" t="inlineStr">
        <is>
          <t>Pagado</t>
        </is>
      </c>
      <c r="E5" t="inlineStr">
        <is>
          <t>Coop. Univ. Marco</t>
        </is>
      </c>
      <c r="F5" t="inlineStr">
        <is>
          <t>Caja Chica NT</t>
        </is>
      </c>
      <c r="G5" t="inlineStr">
        <is>
          <t>Febrero</t>
        </is>
      </c>
      <c r="H5" t="inlineStr">
        <is>
          <t>% Gastos Max</t>
        </is>
      </c>
      <c r="I5" t="inlineStr">
        <is>
          <t>93%</t>
        </is>
      </c>
    </row>
    <row r="6">
      <c r="B6" t="inlineStr">
        <is>
          <t>Prestamo NT-Fam</t>
        </is>
      </c>
      <c r="C6" t="inlineStr">
        <is>
          <t>Fijo/Anual</t>
        </is>
      </c>
      <c r="D6" t="inlineStr">
        <is>
          <t>Cancelado</t>
        </is>
      </c>
      <c r="E6" t="inlineStr">
        <is>
          <t>ITAU Clara</t>
        </is>
      </c>
      <c r="F6" t="inlineStr">
        <is>
          <t>Efectivo NT</t>
        </is>
      </c>
      <c r="G6" t="inlineStr">
        <is>
          <t>Marzo</t>
        </is>
      </c>
      <c r="H6" t="inlineStr">
        <is>
          <t>% Utilidad Dueño</t>
        </is>
      </c>
      <c r="I6" t="inlineStr">
        <is>
          <t>33.33%</t>
        </is>
      </c>
    </row>
    <row r="7">
      <c r="B7" t="inlineStr">
        <is>
          <t>Devol Fam-NT</t>
        </is>
      </c>
      <c r="C7" t="inlineStr">
        <is>
          <t>Variable/Anual</t>
        </is>
      </c>
      <c r="E7" t="inlineStr">
        <is>
          <t>UENO Clara</t>
        </is>
      </c>
      <c r="G7" t="inlineStr">
        <is>
          <t>Abril</t>
        </is>
      </c>
      <c r="H7" t="inlineStr">
        <is>
          <t>% Fondo Emerg</t>
        </is>
      </c>
      <c r="I7" t="inlineStr">
        <is>
          <t>33.33%</t>
        </is>
      </c>
    </row>
    <row r="8">
      <c r="C8" t="inlineStr">
        <is>
          <t>Variable</t>
        </is>
      </c>
      <c r="E8" t="inlineStr">
        <is>
          <t>Tarjeta Solar Clara</t>
        </is>
      </c>
      <c r="G8" t="inlineStr">
        <is>
          <t>Mayo</t>
        </is>
      </c>
      <c r="H8" t="inlineStr">
        <is>
          <t>% Fondo Inv</t>
        </is>
      </c>
      <c r="I8" t="inlineStr">
        <is>
          <t>33.33%</t>
        </is>
      </c>
    </row>
    <row r="9">
      <c r="E9" t="inlineStr">
        <is>
          <t>Tarjeta ITAU Clara</t>
        </is>
      </c>
      <c r="G9" t="inlineStr">
        <is>
          <t>Junio</t>
        </is>
      </c>
    </row>
    <row r="10">
      <c r="E10" t="inlineStr">
        <is>
          <t>Tarjeta ITAU Marco</t>
        </is>
      </c>
      <c r="G10" t="inlineStr">
        <is>
          <t>Julio</t>
        </is>
      </c>
    </row>
    <row r="11">
      <c r="E11" t="inlineStr">
        <is>
          <t>Tarjeta Comecipar Clara</t>
        </is>
      </c>
      <c r="G11" t="inlineStr">
        <is>
          <t>Agosto</t>
        </is>
      </c>
    </row>
    <row r="12">
      <c r="E12" t="inlineStr">
        <is>
          <t>Gourmed</t>
        </is>
      </c>
      <c r="G12" t="inlineStr">
        <is>
          <t>Septiembre</t>
        </is>
      </c>
    </row>
    <row r="13">
      <c r="E13" t="inlineStr">
        <is>
          <t>Efectivo</t>
        </is>
      </c>
      <c r="G13" t="inlineStr">
        <is>
          <t>Octubre</t>
        </is>
      </c>
    </row>
    <row r="14">
      <c r="G14" t="inlineStr">
        <is>
          <t>Noviembre</t>
        </is>
      </c>
    </row>
    <row r="15">
      <c r="G15" t="inlineStr">
        <is>
          <t>Diciembre</t>
        </is>
      </c>
    </row>
    <row r="18">
      <c r="A18" s="3" t="inlineStr">
        <is>
          <t>CATEGORÍAS EGRESO FAMILIA</t>
        </is>
      </c>
      <c r="B18" s="3" t="inlineStr">
        <is>
          <t>CATEGORÍAS EGRESO NT</t>
        </is>
      </c>
    </row>
    <row r="19">
      <c r="A19" t="inlineStr">
        <is>
          <t>GASTOS FIJOS</t>
        </is>
      </c>
      <c r="B19" t="inlineStr">
        <is>
          <t>CLÍNICA</t>
        </is>
      </c>
    </row>
    <row r="20">
      <c r="A20" t="inlineStr">
        <is>
          <t>CUOTAS Y PRÉSTAMOS</t>
        </is>
      </c>
      <c r="B20" t="inlineStr">
        <is>
          <t>SUELDOS Y HONORARIOS</t>
        </is>
      </c>
    </row>
    <row r="21">
      <c r="A21" t="inlineStr">
        <is>
          <t>OBLIGACIONES LEGALES</t>
        </is>
      </c>
      <c r="B21" t="inlineStr">
        <is>
          <t>TELEFONÍA E INTERNET</t>
        </is>
      </c>
    </row>
    <row r="22">
      <c r="A22" t="inlineStr">
        <is>
          <t>SUSCRIPCIONES</t>
        </is>
      </c>
      <c r="B22" t="inlineStr">
        <is>
          <t>OBLIGACIONES LEGALES</t>
        </is>
      </c>
    </row>
    <row r="23">
      <c r="A23" t="inlineStr">
        <is>
          <t>VARIABLES</t>
        </is>
      </c>
      <c r="B23" t="inlineStr">
        <is>
          <t>EVENTOS</t>
        </is>
      </c>
    </row>
    <row r="24">
      <c r="A24" t="inlineStr">
        <is>
          <t>AHORRO</t>
        </is>
      </c>
      <c r="B24" t="inlineStr">
        <is>
          <t>VARIABLES</t>
        </is>
      </c>
    </row>
    <row r="27">
      <c r="A27" s="3" t="inlineStr">
        <is>
          <t>SUBCAT. VARIABLES FAM</t>
        </is>
      </c>
      <c r="B27" s="3" t="inlineStr">
        <is>
          <t>SUBCAT. VARIABLES NT</t>
        </is>
      </c>
      <c r="C27" s="3" t="inlineStr">
        <is>
          <t>EVENTOS NT</t>
        </is>
      </c>
      <c r="D27" s="3" t="inlineStr">
        <is>
          <t>TIPOS INGRESO FAM</t>
        </is>
      </c>
      <c r="E27" s="3" t="inlineStr">
        <is>
          <t>TIPOS INGRESO NT</t>
        </is>
      </c>
    </row>
    <row r="28">
      <c r="A28" t="inlineStr">
        <is>
          <t>Supermercado</t>
        </is>
      </c>
      <c r="B28" t="inlineStr">
        <is>
          <t>Insumos y Papelería</t>
        </is>
      </c>
      <c r="C28" t="inlineStr">
        <is>
          <t>Día del Autismo (Abril)</t>
        </is>
      </c>
      <c r="D28" t="inlineStr">
        <is>
          <t>Salario Marco</t>
        </is>
      </c>
      <c r="E28" t="inlineStr">
        <is>
          <t>Aporte NeuroTEA Terapeutas</t>
        </is>
      </c>
    </row>
    <row r="29">
      <c r="A29" t="inlineStr">
        <is>
          <t>Combustible</t>
        </is>
      </c>
      <c r="B29" t="inlineStr">
        <is>
          <t>Reparaciones Clínica</t>
        </is>
      </c>
      <c r="C29" t="inlineStr">
        <is>
          <t>San Juan (Junio)</t>
        </is>
      </c>
      <c r="D29" t="inlineStr">
        <is>
          <t>Salario Marco NeuroTEA</t>
        </is>
      </c>
      <c r="E29" t="inlineStr">
        <is>
          <t>Cursos NeuroTEA</t>
        </is>
      </c>
    </row>
    <row r="30">
      <c r="A30" t="inlineStr">
        <is>
          <t>Mant. Auto Clara</t>
        </is>
      </c>
      <c r="B30" t="inlineStr">
        <is>
          <t>Mantenimiento Aire</t>
        </is>
      </c>
      <c r="C30" t="inlineStr">
        <is>
          <t>Día del Niño (Agosto)</t>
        </is>
      </c>
      <c r="D30" t="inlineStr">
        <is>
          <t>Vacaciones Marco</t>
        </is>
      </c>
      <c r="E30" t="inlineStr">
        <is>
          <t>Otros</t>
        </is>
      </c>
    </row>
    <row r="31">
      <c r="A31" t="inlineStr">
        <is>
          <t>Mant. Auto Niños</t>
        </is>
      </c>
      <c r="B31" t="inlineStr">
        <is>
          <t>Gastos Cursos</t>
        </is>
      </c>
      <c r="C31" t="inlineStr">
        <is>
          <t>Clausura Padres (Nov)</t>
        </is>
      </c>
      <c r="D31" t="inlineStr">
        <is>
          <t>Adelanto Aguinaldo Marco</t>
        </is>
      </c>
      <c r="E31" t="inlineStr">
        <is>
          <t>Devolución Familia → NT</t>
        </is>
      </c>
    </row>
    <row r="32">
      <c r="A32" t="inlineStr">
        <is>
          <t>Mant. Camioneta Marco</t>
        </is>
      </c>
      <c r="B32" t="inlineStr">
        <is>
          <t>Gastos Varios Cumple</t>
        </is>
      </c>
      <c r="C32" t="inlineStr">
        <is>
          <t>Navidad Papá Noel (Dic)</t>
        </is>
      </c>
      <c r="D32" t="inlineStr">
        <is>
          <t>Saldo Aguinaldo Marco</t>
        </is>
      </c>
    </row>
    <row r="33">
      <c r="A33" t="inlineStr">
        <is>
          <t>Ropa/Vestidos</t>
        </is>
      </c>
      <c r="B33" t="inlineStr">
        <is>
          <t>Préstamo NT → Familia</t>
        </is>
      </c>
      <c r="C33" t="inlineStr">
        <is>
          <t>Cena Fin de Año (Dic)</t>
        </is>
      </c>
      <c r="D33" t="inlineStr">
        <is>
          <t>Viático Marco</t>
        </is>
      </c>
    </row>
    <row r="34">
      <c r="A34" t="inlineStr">
        <is>
          <t>Recreación</t>
        </is>
      </c>
      <c r="C34" t="inlineStr">
        <is>
          <t>Reserva 1</t>
        </is>
      </c>
      <c r="D34" t="inlineStr">
        <is>
          <t>Animador Bíblico Marco</t>
        </is>
      </c>
    </row>
    <row r="35">
      <c r="A35" t="inlineStr">
        <is>
          <t>Salud y Medicamentos</t>
        </is>
      </c>
      <c r="C35" t="inlineStr">
        <is>
          <t>Reserva 2</t>
        </is>
      </c>
      <c r="D35" t="inlineStr">
        <is>
          <t>Tarjeta Gourmed</t>
        </is>
      </c>
    </row>
    <row r="36">
      <c r="A36" t="inlineStr">
        <is>
          <t>Gastos no identificados</t>
        </is>
      </c>
      <c r="C36" t="inlineStr">
        <is>
          <t>Reserva 3</t>
        </is>
      </c>
      <c r="D36" t="inlineStr">
        <is>
          <t>Contrato Colectivo Marco</t>
        </is>
      </c>
    </row>
    <row r="37">
      <c r="A37" t="inlineStr">
        <is>
          <t>Devolución Familia → NT</t>
        </is>
      </c>
      <c r="C37" t="inlineStr">
        <is>
          <t>Reserva 4</t>
        </is>
      </c>
      <c r="D37" t="inlineStr">
        <is>
          <t>PL Itaipu Marco</t>
        </is>
      </c>
    </row>
    <row r="38">
      <c r="C38" t="inlineStr">
        <is>
          <t>Reserva 5</t>
        </is>
      </c>
      <c r="D38" t="inlineStr">
        <is>
          <t>Honorarios Clara NeuroTEA</t>
        </is>
      </c>
    </row>
    <row r="39">
      <c r="C39" t="inlineStr">
        <is>
          <t>Reserva 6</t>
        </is>
      </c>
      <c r="D39" t="inlineStr">
        <is>
          <t>Préstamo NeuroTEA</t>
        </is>
      </c>
    </row>
    <row r="40">
      <c r="C40" t="inlineStr">
        <is>
          <t>Reserva 7</t>
        </is>
      </c>
      <c r="D40" t="inlineStr">
        <is>
          <t>Préstamo Otros Bancos</t>
        </is>
      </c>
    </row>
    <row r="41">
      <c r="C41" t="inlineStr">
        <is>
          <t>Reserva 8</t>
        </is>
      </c>
    </row>
    <row r="42">
      <c r="C42" t="inlineStr">
        <is>
          <t>Reserva 9</t>
        </is>
      </c>
    </row>
    <row r="43">
      <c r="C43" t="inlineStr">
        <is>
          <t>Reserva 10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" customWidth="1" min="8" max="8"/>
    <col width="22" customWidth="1" min="9" max="9"/>
    <col width="12" customWidth="1" min="10" max="10"/>
  </cols>
  <sheetData>
    <row r="1" ht="39.75" customHeight="1">
      <c r="A1" s="4" t="inlineStr">
        <is>
          <t>TABLERO DE CONTROL FINANCIERO 2026</t>
        </is>
      </c>
    </row>
    <row r="2" ht="17.35" customHeight="1">
      <c r="B2" s="5" t="inlineStr">
        <is>
          <t>MES:</t>
        </is>
      </c>
      <c r="C2" s="6" t="inlineStr">
        <is>
          <t>Enero 2026</t>
        </is>
      </c>
      <c r="F2" s="7" t="inlineStr">
        <is>
          <t>Hoy:</t>
        </is>
      </c>
      <c r="G2" s="8" t="n">
        <v>46020</v>
      </c>
    </row>
    <row r="3"/>
    <row r="4" ht="24.75" customHeight="1">
      <c r="A4" s="9" t="inlineStr">
        <is>
          <t>FAMILIA</t>
        </is>
      </c>
      <c r="I4" s="10" t="inlineStr">
        <is>
          <t>NEUROTEA</t>
        </is>
      </c>
    </row>
    <row r="5"/>
    <row r="6" ht="15" customHeight="1">
      <c r="A6" s="11" t="inlineStr">
        <is>
          <t>SALDOS EN CUENTAS</t>
        </is>
      </c>
      <c r="I6" s="12" t="inlineStr">
        <is>
          <t>INDICADORES DE METAS</t>
        </is>
      </c>
    </row>
    <row r="7" ht="15" customHeight="1">
      <c r="A7" s="13" t="inlineStr">
        <is>
          <t>Cuenta</t>
        </is>
      </c>
      <c r="B7" s="13" t="inlineStr">
        <is>
          <t>Esperado</t>
        </is>
      </c>
      <c r="C7" s="13" t="inlineStr">
        <is>
          <t>Real</t>
        </is>
      </c>
      <c r="D7" s="13" t="inlineStr">
        <is>
          <t>Diferencia</t>
        </is>
      </c>
      <c r="I7" s="14" t="inlineStr">
        <is>
          <t>Ingresos del Mes</t>
        </is>
      </c>
      <c r="K7" s="15" t="inlineStr">
        <is>
          <t>Gastos del Mes</t>
        </is>
      </c>
    </row>
    <row r="8" ht="15" customHeight="1">
      <c r="A8" s="16" t="inlineStr">
        <is>
          <t>ITAU Marco</t>
        </is>
      </c>
      <c r="B8" s="17" t="n">
        <v>0</v>
      </c>
      <c r="C8" s="17" t="n">
        <v>0</v>
      </c>
      <c r="D8" s="18">
        <f>C8-B8</f>
        <v/>
      </c>
      <c r="I8" s="19" t="n">
        <v>0</v>
      </c>
      <c r="K8" s="20" t="n">
        <v>0</v>
      </c>
    </row>
    <row r="9" ht="15" customHeight="1">
      <c r="A9" s="16" t="inlineStr">
        <is>
          <t>Coop. Univ. Marco</t>
        </is>
      </c>
      <c r="B9" s="17" t="n">
        <v>0</v>
      </c>
      <c r="C9" s="17" t="n">
        <v>0</v>
      </c>
      <c r="D9" s="18">
        <f>C9-B9</f>
        <v/>
      </c>
      <c r="I9" s="21" t="inlineStr">
        <is>
          <t>Ganancia Real</t>
        </is>
      </c>
      <c r="K9" s="21" t="inlineStr">
        <is>
          <t>Meta 7%</t>
        </is>
      </c>
    </row>
    <row r="10" ht="15" customHeight="1">
      <c r="A10" s="16" t="inlineStr">
        <is>
          <t>ITAU Clara</t>
        </is>
      </c>
      <c r="B10" s="17" t="n">
        <v>0</v>
      </c>
      <c r="C10" s="17" t="n">
        <v>0</v>
      </c>
      <c r="D10" s="18">
        <f>C10-B10</f>
        <v/>
      </c>
      <c r="I10" s="22" t="n">
        <v>0</v>
      </c>
      <c r="K10" s="22" t="n">
        <v>0</v>
      </c>
    </row>
    <row r="11" ht="15" customHeight="1">
      <c r="A11" s="16" t="inlineStr">
        <is>
          <t>UENO Clara</t>
        </is>
      </c>
      <c r="B11" s="17" t="n">
        <v>0</v>
      </c>
      <c r="C11" s="17" t="n">
        <v>0</v>
      </c>
      <c r="D11" s="18">
        <f>C11-B11</f>
        <v/>
      </c>
      <c r="I11" s="7" t="inlineStr">
        <is>
          <t>% Gastos sobre Ingresos:</t>
        </is>
      </c>
      <c r="L11" s="23" t="inlineStr">
        <is>
          <t>0% / 93% max</t>
        </is>
      </c>
    </row>
    <row r="12" ht="15" customHeight="1">
      <c r="A12" s="16" t="inlineStr">
        <is>
          <t>Tarjeta Solar</t>
        </is>
      </c>
      <c r="B12" s="17" t="n">
        <v>0</v>
      </c>
      <c r="C12" s="17" t="n">
        <v>0</v>
      </c>
      <c r="D12" s="18">
        <f>C12-B12</f>
        <v/>
      </c>
    </row>
    <row r="13" ht="15" customHeight="1">
      <c r="A13" s="16" t="inlineStr">
        <is>
          <t>Tarjeta ITAU Clara</t>
        </is>
      </c>
      <c r="B13" s="17" t="n">
        <v>0</v>
      </c>
      <c r="C13" s="17" t="n">
        <v>0</v>
      </c>
      <c r="D13" s="18">
        <f>C13-B13</f>
        <v/>
      </c>
      <c r="I13" s="24" t="inlineStr">
        <is>
          <t>Distribucion de Ganancia (7%)</t>
        </is>
      </c>
    </row>
    <row r="14" ht="15" customHeight="1">
      <c r="A14" s="16" t="inlineStr">
        <is>
          <t>Gourmed</t>
        </is>
      </c>
      <c r="B14" s="17" t="n">
        <v>0</v>
      </c>
      <c r="C14" s="17" t="n">
        <v>0</v>
      </c>
      <c r="D14" s="18">
        <f>C14-B14</f>
        <v/>
      </c>
      <c r="I14" s="25" t="inlineStr">
        <is>
          <t>Utilidad Dueno</t>
        </is>
      </c>
      <c r="K14" s="26" t="inlineStr">
        <is>
          <t>Fondo Emerg.</t>
        </is>
      </c>
      <c r="M14" s="27" t="inlineStr">
        <is>
          <t>Fondo Inversion</t>
        </is>
      </c>
    </row>
    <row r="15" ht="15" customHeight="1">
      <c r="I15" s="28" t="n">
        <v>0</v>
      </c>
      <c r="K15" s="29" t="n">
        <v>0</v>
      </c>
      <c r="M15" s="30" t="n">
        <v>0</v>
      </c>
    </row>
    <row r="16" ht="15" customHeight="1">
      <c r="A16" s="11" t="inlineStr">
        <is>
          <t>PRESUPUESTO vs REAL</t>
        </is>
      </c>
    </row>
    <row r="17" ht="15" customHeight="1">
      <c r="A17" s="13" t="inlineStr">
        <is>
          <t>Categoria</t>
        </is>
      </c>
      <c r="B17" s="13" t="inlineStr">
        <is>
          <t>Presupuesto</t>
        </is>
      </c>
      <c r="C17" s="13" t="inlineStr">
        <is>
          <t>Real</t>
        </is>
      </c>
      <c r="D17" s="13" t="inlineStr">
        <is>
          <t>Estado</t>
        </is>
      </c>
      <c r="I17" s="12" t="inlineStr">
        <is>
          <t>SALDOS EN CUENTAS</t>
        </is>
      </c>
    </row>
    <row r="18" ht="15" customHeight="1">
      <c r="A18" s="16" t="inlineStr">
        <is>
          <t>INGRESOS FAMILIA</t>
        </is>
      </c>
      <c r="B18" s="17" t="n">
        <v>0</v>
      </c>
      <c r="C18" s="17" t="n">
        <v>0</v>
      </c>
      <c r="D18" s="31">
        <f>IF(B18=0,"-",C18/B18)</f>
        <v/>
      </c>
      <c r="I18" s="32" t="inlineStr">
        <is>
          <t>Cuenta</t>
        </is>
      </c>
      <c r="J18" s="32" t="inlineStr">
        <is>
          <t>Mes</t>
        </is>
      </c>
      <c r="K18" s="32" t="inlineStr">
        <is>
          <t>Acumulado</t>
        </is>
      </c>
    </row>
    <row r="19" ht="15" customHeight="1">
      <c r="A19" s="16" t="inlineStr">
        <is>
          <t>GASTOS FIJOS</t>
        </is>
      </c>
      <c r="B19" s="17" t="n">
        <v>0</v>
      </c>
      <c r="C19" s="17" t="n">
        <v>0</v>
      </c>
      <c r="D19" s="31">
        <f>IF(B19=0,"-",C19/B19)</f>
        <v/>
      </c>
      <c r="I19" s="16" t="inlineStr">
        <is>
          <t>Atlas NeuroTEA</t>
        </is>
      </c>
      <c r="J19" s="17" t="n">
        <v>0</v>
      </c>
      <c r="K19" s="17" t="n">
        <v>0</v>
      </c>
    </row>
    <row r="20" ht="15" customHeight="1">
      <c r="A20" s="16" t="inlineStr">
        <is>
          <t>CUOTAS Y PRESTAMOS</t>
        </is>
      </c>
      <c r="B20" s="17" t="n">
        <v>0</v>
      </c>
      <c r="C20" s="17" t="n">
        <v>0</v>
      </c>
      <c r="D20" s="31">
        <f>IF(B20=0,"-",C20/B20)</f>
        <v/>
      </c>
      <c r="I20" s="16" t="inlineStr">
        <is>
          <t>Costos Operativos</t>
        </is>
      </c>
      <c r="J20" s="17" t="n">
        <v>0</v>
      </c>
      <c r="K20" s="17" t="n">
        <v>0</v>
      </c>
    </row>
    <row r="21" ht="15" customHeight="1">
      <c r="A21" s="16" t="inlineStr">
        <is>
          <t>OBLIGACIONES LEGALES</t>
        </is>
      </c>
      <c r="B21" s="17" t="n">
        <v>0</v>
      </c>
      <c r="C21" s="17" t="n">
        <v>0</v>
      </c>
      <c r="D21" s="31">
        <f>IF(B21=0,"-",C21/B21)</f>
        <v/>
      </c>
      <c r="I21" s="16" t="inlineStr">
        <is>
          <t>Utilidad del Dueno</t>
        </is>
      </c>
      <c r="J21" s="17" t="n">
        <v>0</v>
      </c>
      <c r="K21" s="17" t="n">
        <v>0</v>
      </c>
    </row>
    <row r="22" ht="15" customHeight="1">
      <c r="A22" s="16" t="inlineStr">
        <is>
          <t>SUSCRIPCIONES</t>
        </is>
      </c>
      <c r="B22" s="17" t="n">
        <v>0</v>
      </c>
      <c r="C22" s="17" t="n">
        <v>0</v>
      </c>
      <c r="D22" s="31">
        <f>IF(B22=0,"-",C22/B22)</f>
        <v/>
      </c>
      <c r="I22" s="16" t="inlineStr">
        <is>
          <t>Fondo Emergencia</t>
        </is>
      </c>
      <c r="J22" s="17" t="n">
        <v>0</v>
      </c>
      <c r="K22" s="17" t="n">
        <v>0</v>
      </c>
    </row>
    <row r="23" ht="15" customHeight="1">
      <c r="A23" s="16" t="inlineStr">
        <is>
          <t>VARIABLES</t>
        </is>
      </c>
      <c r="B23" s="17" t="n">
        <v>0</v>
      </c>
      <c r="C23" s="17" t="n">
        <v>0</v>
      </c>
      <c r="D23" s="31">
        <f>IF(B23=0,"-",C23/B23)</f>
        <v/>
      </c>
      <c r="I23" s="16" t="inlineStr">
        <is>
          <t>Fondo Inversion</t>
        </is>
      </c>
      <c r="J23" s="17" t="n">
        <v>0</v>
      </c>
      <c r="K23" s="17" t="n">
        <v>0</v>
      </c>
    </row>
    <row r="24" ht="15" customHeight="1">
      <c r="A24" s="16" t="inlineStr">
        <is>
          <t>AHORRO</t>
        </is>
      </c>
      <c r="B24" s="17" t="n">
        <v>0</v>
      </c>
      <c r="C24" s="17" t="n">
        <v>0</v>
      </c>
      <c r="D24" s="31">
        <f>IF(B24=0,"-",C24/B24)</f>
        <v/>
      </c>
    </row>
    <row r="25" ht="15" customHeight="1">
      <c r="A25" s="33" t="inlineStr">
        <is>
          <t>BALANCE FAMILIA</t>
        </is>
      </c>
      <c r="B25" s="34" t="n">
        <v>0</v>
      </c>
      <c r="C25" s="34" t="n">
        <v>0</v>
      </c>
      <c r="D25" s="35" t="n"/>
      <c r="I25" s="12" t="inlineStr">
        <is>
          <t>PRESUPUESTO vs REAL</t>
        </is>
      </c>
    </row>
    <row r="26" ht="15" customHeight="1">
      <c r="I26" s="32" t="inlineStr">
        <is>
          <t>Categoria</t>
        </is>
      </c>
      <c r="J26" s="32" t="inlineStr">
        <is>
          <t>Presupuesto</t>
        </is>
      </c>
      <c r="K26" s="32" t="inlineStr">
        <is>
          <t>Real</t>
        </is>
      </c>
      <c r="L26" s="32" t="inlineStr">
        <is>
          <t>Estado</t>
        </is>
      </c>
    </row>
    <row r="27" ht="15" customHeight="1">
      <c r="A27" s="11" t="inlineStr">
        <is>
          <t>FLUJO DEL MES</t>
        </is>
      </c>
      <c r="I27" s="16" t="inlineStr">
        <is>
          <t>INGRESOS NT</t>
        </is>
      </c>
      <c r="J27" s="17" t="n">
        <v>0</v>
      </c>
      <c r="K27" s="17" t="n">
        <v>0</v>
      </c>
      <c r="L27" s="31">
        <f>IF(J27=0,"-",K27/J27)</f>
        <v/>
      </c>
    </row>
    <row r="28" ht="15" customHeight="1">
      <c r="A28" s="36" t="inlineStr">
        <is>
          <t>Ingresos</t>
        </is>
      </c>
      <c r="B28" s="37" t="n"/>
      <c r="C28" s="38" t="n">
        <v>0</v>
      </c>
      <c r="I28" s="16" t="inlineStr">
        <is>
          <t>CLINICA</t>
        </is>
      </c>
      <c r="J28" s="17" t="n">
        <v>0</v>
      </c>
      <c r="K28" s="17" t="n">
        <v>0</v>
      </c>
      <c r="L28" s="31">
        <f>IF(J28=0,"-",K28/J28)</f>
        <v/>
      </c>
    </row>
    <row r="29" ht="15" customHeight="1">
      <c r="A29" s="39" t="inlineStr">
        <is>
          <t>Egresos Pagados</t>
        </is>
      </c>
      <c r="B29" s="37" t="n"/>
      <c r="C29" s="40" t="n">
        <v>0</v>
      </c>
      <c r="I29" s="16" t="inlineStr">
        <is>
          <t>SUELDOS Y HONORARIOS</t>
        </is>
      </c>
      <c r="J29" s="17" t="n">
        <v>0</v>
      </c>
      <c r="K29" s="17" t="n">
        <v>0</v>
      </c>
      <c r="L29" s="31">
        <f>IF(J29=0,"-",K29/J29)</f>
        <v/>
      </c>
    </row>
    <row r="30" ht="15" customHeight="1">
      <c r="A30" s="41" t="inlineStr">
        <is>
          <t>Egresos Pendientes</t>
        </is>
      </c>
      <c r="B30" s="37" t="n"/>
      <c r="C30" s="34" t="n">
        <v>0</v>
      </c>
      <c r="I30" s="16" t="inlineStr">
        <is>
          <t>TELEFONIA E INTERNET</t>
        </is>
      </c>
      <c r="J30" s="17" t="n">
        <v>0</v>
      </c>
      <c r="K30" s="17" t="n">
        <v>0</v>
      </c>
      <c r="L30" s="31">
        <f>IF(J30=0,"-",K30/J30)</f>
        <v/>
      </c>
    </row>
    <row r="31" ht="15" customHeight="1">
      <c r="A31" s="42" t="inlineStr">
        <is>
          <t>BALANCE</t>
        </is>
      </c>
      <c r="B31" s="37" t="n"/>
      <c r="C31" s="43" t="n">
        <v>0</v>
      </c>
      <c r="I31" s="16" t="inlineStr">
        <is>
          <t>OBLIGACIONES LEGALES</t>
        </is>
      </c>
      <c r="J31" s="17" t="n">
        <v>0</v>
      </c>
      <c r="K31" s="17" t="n">
        <v>0</v>
      </c>
      <c r="L31" s="31">
        <f>IF(J31=0,"-",K31/J31)</f>
        <v/>
      </c>
    </row>
    <row r="32" ht="15" customHeight="1">
      <c r="I32" s="16" t="inlineStr">
        <is>
          <t>EVENTOS</t>
        </is>
      </c>
      <c r="J32" s="17" t="n">
        <v>0</v>
      </c>
      <c r="K32" s="17" t="n">
        <v>0</v>
      </c>
      <c r="L32" s="31">
        <f>IF(J32=0,"-",K32/J32)</f>
        <v/>
      </c>
    </row>
    <row r="33" ht="15" customHeight="1">
      <c r="A33" s="11" t="inlineStr">
        <is>
          <t>LIQUIDEZ - PROXIMOS PAGOS</t>
        </is>
      </c>
      <c r="I33" s="16" t="inlineStr">
        <is>
          <t>VARIABLES</t>
        </is>
      </c>
      <c r="J33" s="17" t="n">
        <v>0</v>
      </c>
      <c r="K33" s="17" t="n">
        <v>0</v>
      </c>
      <c r="L33" s="31">
        <f>IF(J33=0,"-",K33/J33)</f>
        <v/>
      </c>
    </row>
    <row r="34" ht="15" customHeight="1">
      <c r="A34" s="13" t="inlineStr">
        <is>
          <t>Concepto</t>
        </is>
      </c>
      <c r="B34" s="13" t="inlineStr">
        <is>
          <t>Cuotas</t>
        </is>
      </c>
      <c r="C34" s="13" t="inlineStr">
        <is>
          <t>Monto</t>
        </is>
      </c>
      <c r="D34" s="13" t="inlineStr">
        <is>
          <t>Saldo</t>
        </is>
      </c>
      <c r="E34" s="13" t="inlineStr">
        <is>
          <t>Estado</t>
        </is>
      </c>
      <c r="I34" s="16" t="inlineStr">
        <is>
          <t>GANANCIA (7%)</t>
        </is>
      </c>
      <c r="J34" s="17" t="n">
        <v>0</v>
      </c>
      <c r="K34" s="17" t="n">
        <v>0</v>
      </c>
      <c r="L34" s="31">
        <f>IF(J34=0,"-",K34/J34)</f>
        <v/>
      </c>
    </row>
    <row r="35" ht="15" customHeight="1">
      <c r="A35" s="16" t="inlineStr">
        <is>
          <t>Caja disponible</t>
        </is>
      </c>
      <c r="B35" s="16" t="n"/>
      <c r="C35" s="17" t="n">
        <v>0</v>
      </c>
      <c r="D35" s="17" t="n">
        <v>0</v>
      </c>
      <c r="E35" s="16" t="n"/>
      <c r="I35" s="33" t="inlineStr">
        <is>
          <t>BALANCE NEUROTEA</t>
        </is>
      </c>
      <c r="J35" s="35" t="n"/>
      <c r="K35" s="35" t="n"/>
      <c r="L35" s="35" t="n"/>
    </row>
    <row r="36" ht="15" customHeight="1">
      <c r="A36" s="16" t="inlineStr">
        <is>
          <t>Atrasados</t>
        </is>
      </c>
      <c r="B36" s="16" t="n"/>
      <c r="C36" s="17" t="n">
        <v>0</v>
      </c>
      <c r="D36" s="17" t="n">
        <v>0</v>
      </c>
      <c r="E36" s="16" t="n"/>
    </row>
    <row r="37" ht="15" customHeight="1">
      <c r="A37" s="16" t="inlineStr">
        <is>
          <t>Esta semana</t>
        </is>
      </c>
      <c r="B37" s="16" t="n"/>
      <c r="C37" s="17" t="n">
        <v>0</v>
      </c>
      <c r="D37" s="17" t="n">
        <v>0</v>
      </c>
      <c r="E37" s="16" t="n"/>
      <c r="I37" s="12" t="inlineStr">
        <is>
          <t>FLUJO DEL MES</t>
        </is>
      </c>
    </row>
    <row r="38" ht="15" customHeight="1">
      <c r="A38" s="16" t="inlineStr">
        <is>
          <t>Proxima semana</t>
        </is>
      </c>
      <c r="B38" s="16" t="n"/>
      <c r="C38" s="17" t="n">
        <v>0</v>
      </c>
      <c r="D38" s="17" t="n">
        <v>0</v>
      </c>
      <c r="E38" s="16" t="n"/>
      <c r="I38" s="36" t="inlineStr">
        <is>
          <t>Ingresos</t>
        </is>
      </c>
      <c r="J38" s="37" t="n"/>
      <c r="K38" s="38" t="n">
        <v>0</v>
      </c>
    </row>
    <row r="39" ht="15" customHeight="1">
      <c r="A39" s="16" t="inlineStr">
        <is>
          <t>3ra semana</t>
        </is>
      </c>
      <c r="B39" s="16" t="n"/>
      <c r="C39" s="17" t="n">
        <v>0</v>
      </c>
      <c r="D39" s="17" t="n">
        <v>0</v>
      </c>
      <c r="E39" s="16" t="n"/>
      <c r="I39" s="39" t="inlineStr">
        <is>
          <t>Egresos Pagados</t>
        </is>
      </c>
      <c r="J39" s="37" t="n"/>
      <c r="K39" s="40" t="n">
        <v>0</v>
      </c>
    </row>
    <row r="40" ht="15" customHeight="1">
      <c r="A40" s="44" t="inlineStr">
        <is>
          <t>SALDO FINAL</t>
        </is>
      </c>
      <c r="B40" s="44" t="n"/>
      <c r="C40" s="45" t="n">
        <v>0</v>
      </c>
      <c r="D40" s="45" t="n">
        <v>0</v>
      </c>
      <c r="E40" s="44" t="n"/>
      <c r="I40" s="41" t="inlineStr">
        <is>
          <t>Egresos Pendientes</t>
        </is>
      </c>
      <c r="J40" s="37" t="n"/>
      <c r="K40" s="34" t="n">
        <v>0</v>
      </c>
    </row>
    <row r="41" ht="15" customHeight="1">
      <c r="I41" s="42" t="inlineStr">
        <is>
          <t>BALANCE</t>
        </is>
      </c>
      <c r="J41" s="37" t="n"/>
      <c r="K41" s="43" t="n">
        <v>0</v>
      </c>
    </row>
    <row r="42"/>
    <row r="43" ht="15" customHeight="1">
      <c r="I43" s="12" t="inlineStr">
        <is>
          <t>LIQUIDEZ - PROXIMOS PAGOS</t>
        </is>
      </c>
    </row>
    <row r="44" ht="15" customHeight="1">
      <c r="I44" s="32" t="inlineStr">
        <is>
          <t>Concepto</t>
        </is>
      </c>
      <c r="J44" s="32" t="inlineStr">
        <is>
          <t>Cuotas</t>
        </is>
      </c>
      <c r="K44" s="32" t="inlineStr">
        <is>
          <t>Monto</t>
        </is>
      </c>
      <c r="L44" s="32" t="inlineStr">
        <is>
          <t>Saldo</t>
        </is>
      </c>
      <c r="M44" s="32" t="inlineStr">
        <is>
          <t>Estado</t>
        </is>
      </c>
    </row>
    <row r="45" ht="15" customHeight="1">
      <c r="I45" s="16" t="inlineStr">
        <is>
          <t>Caja disponible</t>
        </is>
      </c>
      <c r="J45" s="16" t="n"/>
      <c r="K45" s="17" t="n">
        <v>0</v>
      </c>
      <c r="L45" s="17" t="n">
        <v>0</v>
      </c>
      <c r="M45" s="16" t="n"/>
    </row>
    <row r="46" ht="15" customHeight="1">
      <c r="I46" s="16" t="inlineStr">
        <is>
          <t>Atrasados</t>
        </is>
      </c>
      <c r="J46" s="16" t="n"/>
      <c r="K46" s="17" t="n">
        <v>0</v>
      </c>
      <c r="L46" s="17" t="n">
        <v>0</v>
      </c>
      <c r="M46" s="16" t="n"/>
    </row>
    <row r="47" ht="15" customHeight="1">
      <c r="I47" s="16" t="inlineStr">
        <is>
          <t>Esta semana</t>
        </is>
      </c>
      <c r="J47" s="16" t="n"/>
      <c r="K47" s="17" t="n">
        <v>0</v>
      </c>
      <c r="L47" s="17" t="n">
        <v>0</v>
      </c>
      <c r="M47" s="16" t="n"/>
    </row>
    <row r="48" ht="15" customHeight="1">
      <c r="I48" s="16" t="inlineStr">
        <is>
          <t>Proxima semana</t>
        </is>
      </c>
      <c r="J48" s="16" t="n"/>
      <c r="K48" s="17" t="n">
        <v>0</v>
      </c>
      <c r="L48" s="17" t="n">
        <v>0</v>
      </c>
      <c r="M48" s="16" t="n"/>
    </row>
    <row r="49" ht="15" customHeight="1">
      <c r="I49" s="16" t="inlineStr">
        <is>
          <t>3ra semana</t>
        </is>
      </c>
      <c r="J49" s="16" t="n"/>
      <c r="K49" s="17" t="n">
        <v>0</v>
      </c>
      <c r="L49" s="17" t="n">
        <v>0</v>
      </c>
      <c r="M49" s="16" t="n"/>
    </row>
    <row r="50" ht="15" customHeight="1">
      <c r="I50" s="44" t="inlineStr">
        <is>
          <t>SALDO FINAL</t>
        </is>
      </c>
      <c r="J50" s="44" t="n"/>
      <c r="K50" s="45" t="n">
        <v>0</v>
      </c>
      <c r="L50" s="45" t="n">
        <v>0</v>
      </c>
      <c r="M50" s="44" t="n"/>
    </row>
    <row r="51"/>
    <row r="52" ht="24.75" customHeight="1">
      <c r="A52" s="46" t="inlineStr">
        <is>
          <t>BALANCE CRUZADO: NEUROTEA &lt;-&gt; FAMILIA</t>
        </is>
      </c>
    </row>
    <row r="53"/>
    <row r="54" ht="15" customHeight="1">
      <c r="A54" s="47" t="inlineStr">
        <is>
          <t>Concepto</t>
        </is>
      </c>
      <c r="B54" s="47" t="inlineStr">
        <is>
          <t>Este Mes</t>
        </is>
      </c>
      <c r="C54" s="47" t="inlineStr">
        <is>
          <t>Acumulado Ano</t>
        </is>
      </c>
      <c r="F54" s="48" t="inlineStr">
        <is>
          <t>ALERTA
NT SUBSIDIA A FAMILIA</t>
        </is>
      </c>
    </row>
    <row r="55" ht="15" customHeight="1">
      <c r="A55" s="16" t="inlineStr">
        <is>
          <t>Prestamo NT -&gt; Familia</t>
        </is>
      </c>
      <c r="B55" s="17" t="n">
        <v>0</v>
      </c>
      <c r="C55" s="17" t="n">
        <v>0</v>
      </c>
    </row>
    <row r="56" ht="15" customHeight="1">
      <c r="A56" s="16" t="inlineStr">
        <is>
          <t>Devolucion Familia -&gt; NT</t>
        </is>
      </c>
      <c r="B56" s="17" t="n">
        <v>0</v>
      </c>
      <c r="C56" s="17" t="n">
        <v>0</v>
      </c>
    </row>
    <row r="57" ht="15" customHeight="1">
      <c r="A57" s="49" t="inlineStr">
        <is>
          <t>SALDO NETO</t>
        </is>
      </c>
      <c r="B57" s="50" t="n">
        <v>0</v>
      </c>
      <c r="C57" s="50" t="n">
        <v>0</v>
      </c>
    </row>
    <row r="58" ht="15" customHeight="1"/>
  </sheetData>
  <mergeCells count="14">
    <mergeCell ref="A30:B30"/>
    <mergeCell ref="I4:P4"/>
    <mergeCell ref="A29:B29"/>
    <mergeCell ref="I38:J38"/>
    <mergeCell ref="C2:D2"/>
    <mergeCell ref="A52:P52"/>
    <mergeCell ref="A1:P1"/>
    <mergeCell ref="F54:H58"/>
    <mergeCell ref="I41:J41"/>
    <mergeCell ref="A4:G4"/>
    <mergeCell ref="A28:B28"/>
    <mergeCell ref="I39:J39"/>
    <mergeCell ref="A31:B31"/>
    <mergeCell ref="I40:J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</cols>
  <sheetData>
    <row r="1">
      <c r="A1" s="4" t="inlineStr">
        <is>
          <t>PRESUPUESTO ANUAL 2026</t>
        </is>
      </c>
    </row>
    <row r="2">
      <c r="A2" s="51" t="inlineStr">
        <is>
          <t>Los valores en azul son editables. Los valores en negro son calculados automaticamente.</t>
        </is>
      </c>
    </row>
    <row r="3"/>
    <row r="4">
      <c r="A4" s="52" t="inlineStr">
        <is>
          <t>PRESUPUESTO FAMILIA</t>
        </is>
      </c>
    </row>
    <row r="5">
      <c r="A5" s="13" t="inlineStr">
        <is>
          <t>CONCEPTO</t>
        </is>
      </c>
      <c r="B5" s="13" t="inlineStr">
        <is>
          <t>TIPO</t>
        </is>
      </c>
      <c r="C5" s="13" t="inlineStr">
        <is>
          <t>ENE</t>
        </is>
      </c>
      <c r="D5" s="13" t="inlineStr">
        <is>
          <t>FEB</t>
        </is>
      </c>
      <c r="E5" s="13" t="inlineStr">
        <is>
          <t>MAR</t>
        </is>
      </c>
      <c r="F5" s="13" t="inlineStr">
        <is>
          <t>ABR</t>
        </is>
      </c>
      <c r="G5" s="13" t="inlineStr">
        <is>
          <t>MAY</t>
        </is>
      </c>
      <c r="H5" s="13" t="inlineStr">
        <is>
          <t>JUN</t>
        </is>
      </c>
      <c r="I5" s="13" t="inlineStr">
        <is>
          <t>JUL</t>
        </is>
      </c>
      <c r="J5" s="13" t="inlineStr">
        <is>
          <t>AGO</t>
        </is>
      </c>
      <c r="K5" s="13" t="inlineStr">
        <is>
          <t>SEP</t>
        </is>
      </c>
      <c r="L5" s="13" t="inlineStr">
        <is>
          <t>OCT</t>
        </is>
      </c>
      <c r="M5" s="13" t="inlineStr">
        <is>
          <t>NOV</t>
        </is>
      </c>
      <c r="N5" s="13" t="inlineStr">
        <is>
          <t>DIC</t>
        </is>
      </c>
      <c r="O5" s="53" t="inlineStr">
        <is>
          <t>TOTAL</t>
        </is>
      </c>
    </row>
    <row r="6">
      <c r="A6" s="52" t="inlineStr">
        <is>
          <t>INGRESOS FAMILIA</t>
        </is>
      </c>
    </row>
    <row r="7">
      <c r="A7" s="16" t="inlineStr">
        <is>
          <t>Salario Marco</t>
        </is>
      </c>
      <c r="B7" s="54" t="inlineStr">
        <is>
          <t>Fijo/Mensual</t>
        </is>
      </c>
      <c r="C7" s="55" t="n">
        <v>8500000</v>
      </c>
      <c r="D7" s="55" t="n">
        <v>8500000</v>
      </c>
      <c r="E7" s="55" t="n">
        <v>8500000</v>
      </c>
      <c r="F7" s="55" t="n">
        <v>8500000</v>
      </c>
      <c r="G7" s="55" t="n">
        <v>8500000</v>
      </c>
      <c r="H7" s="55" t="n">
        <v>8500000</v>
      </c>
      <c r="I7" s="55" t="n">
        <v>8500000</v>
      </c>
      <c r="J7" s="55" t="n">
        <v>8500000</v>
      </c>
      <c r="K7" s="55" t="n">
        <v>8500000</v>
      </c>
      <c r="L7" s="55" t="n">
        <v>8500000</v>
      </c>
      <c r="M7" s="55" t="n">
        <v>8500000</v>
      </c>
      <c r="N7" s="55" t="n">
        <v>8500000</v>
      </c>
      <c r="O7" s="56">
        <f>SUM(C7:N7)</f>
        <v/>
      </c>
    </row>
    <row r="8">
      <c r="A8" s="16" t="inlineStr">
        <is>
          <t>Salario Marco NeuroTEA</t>
        </is>
      </c>
      <c r="B8" s="54" t="inlineStr">
        <is>
          <t>Fijo/Mensual</t>
        </is>
      </c>
      <c r="C8" s="55" t="n">
        <v>5000000</v>
      </c>
      <c r="D8" s="55" t="n">
        <v>5000000</v>
      </c>
      <c r="E8" s="55" t="n">
        <v>5000000</v>
      </c>
      <c r="F8" s="55" t="n">
        <v>5000000</v>
      </c>
      <c r="G8" s="55" t="n">
        <v>5000000</v>
      </c>
      <c r="H8" s="55" t="n">
        <v>5000000</v>
      </c>
      <c r="I8" s="55" t="n">
        <v>5000000</v>
      </c>
      <c r="J8" s="55" t="n">
        <v>5000000</v>
      </c>
      <c r="K8" s="55" t="n">
        <v>5000000</v>
      </c>
      <c r="L8" s="55" t="n">
        <v>5000000</v>
      </c>
      <c r="M8" s="55" t="n">
        <v>5000000</v>
      </c>
      <c r="N8" s="55" t="n">
        <v>5000000</v>
      </c>
      <c r="O8" s="56">
        <f>SUM(C8:N8)</f>
        <v/>
      </c>
    </row>
    <row r="9">
      <c r="A9" s="16" t="inlineStr">
        <is>
          <t>Vacaciones Marco</t>
        </is>
      </c>
      <c r="B9" s="54" t="inlineStr">
        <is>
          <t>Variable/Anual</t>
        </is>
      </c>
      <c r="C9" s="55" t="n">
        <v>0</v>
      </c>
      <c r="D9" s="55" t="n">
        <v>0</v>
      </c>
      <c r="E9" s="55" t="n">
        <v>0</v>
      </c>
      <c r="F9" s="55" t="n">
        <v>0</v>
      </c>
      <c r="G9" s="55" t="n">
        <v>0</v>
      </c>
      <c r="H9" s="55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6">
        <f>SUM(C9:N9)</f>
        <v/>
      </c>
    </row>
    <row r="10">
      <c r="A10" s="16" t="inlineStr">
        <is>
          <t>Aguinaldo Marco</t>
        </is>
      </c>
      <c r="B10" s="54" t="inlineStr">
        <is>
          <t>Variable/Anual</t>
        </is>
      </c>
      <c r="C10" s="55" t="n">
        <v>0</v>
      </c>
      <c r="D10" s="55" t="n">
        <v>0</v>
      </c>
      <c r="E10" s="55" t="n">
        <v>0</v>
      </c>
      <c r="F10" s="55" t="n">
        <v>0</v>
      </c>
      <c r="G10" s="55" t="n">
        <v>0</v>
      </c>
      <c r="H10" s="55" t="n">
        <v>0</v>
      </c>
      <c r="I10" s="55" t="n">
        <v>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6">
        <f>SUM(C10:N10)</f>
        <v/>
      </c>
    </row>
    <row r="11">
      <c r="A11" s="16" t="inlineStr">
        <is>
          <t>Viatico Marco</t>
        </is>
      </c>
      <c r="B11" s="54" t="inlineStr">
        <is>
          <t>Variable</t>
        </is>
      </c>
      <c r="C11" s="55" t="n">
        <v>500000</v>
      </c>
      <c r="D11" s="55" t="n">
        <v>500000</v>
      </c>
      <c r="E11" s="55" t="n">
        <v>500000</v>
      </c>
      <c r="F11" s="55" t="n">
        <v>500000</v>
      </c>
      <c r="G11" s="55" t="n">
        <v>500000</v>
      </c>
      <c r="H11" s="55" t="n">
        <v>500000</v>
      </c>
      <c r="I11" s="55" t="n">
        <v>500000</v>
      </c>
      <c r="J11" s="55" t="n">
        <v>500000</v>
      </c>
      <c r="K11" s="55" t="n">
        <v>500000</v>
      </c>
      <c r="L11" s="55" t="n">
        <v>500000</v>
      </c>
      <c r="M11" s="55" t="n">
        <v>500000</v>
      </c>
      <c r="N11" s="55" t="n">
        <v>500000</v>
      </c>
      <c r="O11" s="56">
        <f>SUM(C11:N11)</f>
        <v/>
      </c>
    </row>
    <row r="12">
      <c r="A12" s="16" t="inlineStr">
        <is>
          <t>Animador Biblico</t>
        </is>
      </c>
      <c r="B12" s="54" t="inlineStr">
        <is>
          <t>Variable/Mensual</t>
        </is>
      </c>
      <c r="C12" s="55" t="n">
        <v>200000</v>
      </c>
      <c r="D12" s="55" t="n">
        <v>200000</v>
      </c>
      <c r="E12" s="55" t="n">
        <v>200000</v>
      </c>
      <c r="F12" s="55" t="n">
        <v>200000</v>
      </c>
      <c r="G12" s="55" t="n">
        <v>200000</v>
      </c>
      <c r="H12" s="55" t="n">
        <v>200000</v>
      </c>
      <c r="I12" s="55" t="n">
        <v>200000</v>
      </c>
      <c r="J12" s="55" t="n">
        <v>200000</v>
      </c>
      <c r="K12" s="55" t="n">
        <v>200000</v>
      </c>
      <c r="L12" s="55" t="n">
        <v>200000</v>
      </c>
      <c r="M12" s="55" t="n">
        <v>200000</v>
      </c>
      <c r="N12" s="55" t="n">
        <v>200000</v>
      </c>
      <c r="O12" s="56">
        <f>SUM(C12:N12)</f>
        <v/>
      </c>
    </row>
    <row r="13">
      <c r="A13" s="16" t="inlineStr">
        <is>
          <t>Honorarios Clara NT</t>
        </is>
      </c>
      <c r="B13" s="54" t="inlineStr">
        <is>
          <t>Variable</t>
        </is>
      </c>
      <c r="C13" s="55" t="n">
        <v>3000000</v>
      </c>
      <c r="D13" s="55" t="n">
        <v>3000000</v>
      </c>
      <c r="E13" s="55" t="n">
        <v>3000000</v>
      </c>
      <c r="F13" s="55" t="n">
        <v>3000000</v>
      </c>
      <c r="G13" s="55" t="n">
        <v>3000000</v>
      </c>
      <c r="H13" s="55" t="n">
        <v>3000000</v>
      </c>
      <c r="I13" s="55" t="n">
        <v>3000000</v>
      </c>
      <c r="J13" s="55" t="n">
        <v>3000000</v>
      </c>
      <c r="K13" s="55" t="n">
        <v>3000000</v>
      </c>
      <c r="L13" s="55" t="n">
        <v>3000000</v>
      </c>
      <c r="M13" s="55" t="n">
        <v>3000000</v>
      </c>
      <c r="N13" s="55" t="n">
        <v>3000000</v>
      </c>
      <c r="O13" s="56">
        <f>SUM(C13:N13)</f>
        <v/>
      </c>
    </row>
    <row r="14">
      <c r="A14" s="16" t="inlineStr">
        <is>
          <t>Reserva</t>
        </is>
      </c>
      <c r="B14" s="54" t="n"/>
      <c r="C14" s="55" t="n">
        <v>0</v>
      </c>
      <c r="D14" s="55" t="n">
        <v>0</v>
      </c>
      <c r="E14" s="55" t="n">
        <v>0</v>
      </c>
      <c r="F14" s="55" t="n">
        <v>0</v>
      </c>
      <c r="G14" s="55" t="n">
        <v>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6">
        <f>SUM(C14:N14)</f>
        <v/>
      </c>
    </row>
    <row r="15">
      <c r="A15" s="57" t="inlineStr">
        <is>
          <t>TOTAL INGRESOS FAMILIA</t>
        </is>
      </c>
      <c r="B15" s="58" t="n"/>
      <c r="C15" s="59">
        <f>SUM(C7:C14)</f>
        <v/>
      </c>
      <c r="D15" s="59">
        <f>SUM(D7:D14)</f>
        <v/>
      </c>
      <c r="E15" s="59">
        <f>SUM(E7:E14)</f>
        <v/>
      </c>
      <c r="F15" s="59">
        <f>SUM(F7:F14)</f>
        <v/>
      </c>
      <c r="G15" s="59">
        <f>SUM(G7:G14)</f>
        <v/>
      </c>
      <c r="H15" s="59">
        <f>SUM(H7:H14)</f>
        <v/>
      </c>
      <c r="I15" s="59">
        <f>SUM(I7:I14)</f>
        <v/>
      </c>
      <c r="J15" s="59">
        <f>SUM(J7:J14)</f>
        <v/>
      </c>
      <c r="K15" s="59">
        <f>SUM(K7:K14)</f>
        <v/>
      </c>
      <c r="L15" s="59">
        <f>SUM(L7:L14)</f>
        <v/>
      </c>
      <c r="M15" s="59">
        <f>SUM(M7:M14)</f>
        <v/>
      </c>
      <c r="N15" s="59">
        <f>SUM(N7:N14)</f>
        <v/>
      </c>
      <c r="O15" s="59">
        <f>SUM(C15:N15)</f>
        <v/>
      </c>
    </row>
    <row r="16">
      <c r="A16" s="60" t="inlineStr">
        <is>
          <t>EGRESOS - GASTOS FIJOS</t>
        </is>
      </c>
    </row>
    <row r="17">
      <c r="A17" s="16" t="inlineStr">
        <is>
          <t>Salario Lili Domestico</t>
        </is>
      </c>
      <c r="B17" s="54" t="inlineStr">
        <is>
          <t>Fijo/Mensual</t>
        </is>
      </c>
      <c r="C17" s="55" t="n">
        <v>1800000</v>
      </c>
      <c r="D17" s="55" t="n">
        <v>1800000</v>
      </c>
      <c r="E17" s="55" t="n">
        <v>1800000</v>
      </c>
      <c r="F17" s="55" t="n">
        <v>1800000</v>
      </c>
      <c r="G17" s="55" t="n">
        <v>1800000</v>
      </c>
      <c r="H17" s="55" t="n">
        <v>1800000</v>
      </c>
      <c r="I17" s="55" t="n">
        <v>1800000</v>
      </c>
      <c r="J17" s="55" t="n">
        <v>1800000</v>
      </c>
      <c r="K17" s="55" t="n">
        <v>1800000</v>
      </c>
      <c r="L17" s="55" t="n">
        <v>1800000</v>
      </c>
      <c r="M17" s="55" t="n">
        <v>1800000</v>
      </c>
      <c r="N17" s="55" t="n">
        <v>1800000</v>
      </c>
      <c r="O17" s="56">
        <f>SUM(C17:N17)</f>
        <v/>
      </c>
    </row>
    <row r="18">
      <c r="A18" s="16" t="inlineStr">
        <is>
          <t>Salario Laura Domestico</t>
        </is>
      </c>
      <c r="B18" s="54" t="inlineStr">
        <is>
          <t>Fijo/Mensual</t>
        </is>
      </c>
      <c r="C18" s="55" t="n">
        <v>1200000</v>
      </c>
      <c r="D18" s="55" t="n">
        <v>1200000</v>
      </c>
      <c r="E18" s="55" t="n">
        <v>1200000</v>
      </c>
      <c r="F18" s="55" t="n">
        <v>1200000</v>
      </c>
      <c r="G18" s="55" t="n">
        <v>1200000</v>
      </c>
      <c r="H18" s="55" t="n">
        <v>1200000</v>
      </c>
      <c r="I18" s="55" t="n">
        <v>1200000</v>
      </c>
      <c r="J18" s="55" t="n">
        <v>1200000</v>
      </c>
      <c r="K18" s="55" t="n">
        <v>1200000</v>
      </c>
      <c r="L18" s="55" t="n">
        <v>1200000</v>
      </c>
      <c r="M18" s="55" t="n">
        <v>1200000</v>
      </c>
      <c r="N18" s="55" t="n">
        <v>1200000</v>
      </c>
      <c r="O18" s="56">
        <f>SUM(C18:N18)</f>
        <v/>
      </c>
    </row>
    <row r="19">
      <c r="A19" s="16" t="inlineStr">
        <is>
          <t>Escuela Fabian y Brenda</t>
        </is>
      </c>
      <c r="B19" s="54" t="inlineStr">
        <is>
          <t>Fijo/Mensual</t>
        </is>
      </c>
      <c r="C19" s="55" t="n">
        <v>1600000</v>
      </c>
      <c r="D19" s="55" t="n">
        <v>1600000</v>
      </c>
      <c r="E19" s="55" t="n">
        <v>1600000</v>
      </c>
      <c r="F19" s="55" t="n">
        <v>1600000</v>
      </c>
      <c r="G19" s="55" t="n">
        <v>1600000</v>
      </c>
      <c r="H19" s="55" t="n">
        <v>1600000</v>
      </c>
      <c r="I19" s="55" t="n">
        <v>1600000</v>
      </c>
      <c r="J19" s="55" t="n">
        <v>1600000</v>
      </c>
      <c r="K19" s="55" t="n">
        <v>1600000</v>
      </c>
      <c r="L19" s="55" t="n">
        <v>1600000</v>
      </c>
      <c r="M19" s="55" t="n">
        <v>1600000</v>
      </c>
      <c r="N19" s="55" t="n">
        <v>1600000</v>
      </c>
      <c r="O19" s="56">
        <f>SUM(C19:N19)</f>
        <v/>
      </c>
    </row>
    <row r="20">
      <c r="A20" s="16" t="inlineStr">
        <is>
          <t>Robotica Ninos</t>
        </is>
      </c>
      <c r="B20" s="54" t="inlineStr">
        <is>
          <t>Fijo/Mensual</t>
        </is>
      </c>
      <c r="C20" s="55" t="n">
        <v>400000</v>
      </c>
      <c r="D20" s="55" t="n">
        <v>400000</v>
      </c>
      <c r="E20" s="55" t="n">
        <v>400000</v>
      </c>
      <c r="F20" s="55" t="n">
        <v>400000</v>
      </c>
      <c r="G20" s="55" t="n">
        <v>400000</v>
      </c>
      <c r="H20" s="55" t="n">
        <v>400000</v>
      </c>
      <c r="I20" s="55" t="n">
        <v>400000</v>
      </c>
      <c r="J20" s="55" t="n">
        <v>400000</v>
      </c>
      <c r="K20" s="55" t="n">
        <v>400000</v>
      </c>
      <c r="L20" s="55" t="n">
        <v>400000</v>
      </c>
      <c r="M20" s="55" t="n">
        <v>400000</v>
      </c>
      <c r="N20" s="55" t="n">
        <v>400000</v>
      </c>
      <c r="O20" s="56">
        <f>SUM(C20:N20)</f>
        <v/>
      </c>
    </row>
    <row r="21">
      <c r="A21" s="16" t="inlineStr">
        <is>
          <t>ANDE Casa</t>
        </is>
      </c>
      <c r="B21" s="54" t="inlineStr">
        <is>
          <t>Variable/Mensual</t>
        </is>
      </c>
      <c r="C21" s="55" t="n">
        <v>400000</v>
      </c>
      <c r="D21" s="55" t="n">
        <v>400000</v>
      </c>
      <c r="E21" s="55" t="n">
        <v>400000</v>
      </c>
      <c r="F21" s="55" t="n">
        <v>400000</v>
      </c>
      <c r="G21" s="55" t="n">
        <v>400000</v>
      </c>
      <c r="H21" s="55" t="n">
        <v>400000</v>
      </c>
      <c r="I21" s="55" t="n">
        <v>400000</v>
      </c>
      <c r="J21" s="55" t="n">
        <v>400000</v>
      </c>
      <c r="K21" s="55" t="n">
        <v>400000</v>
      </c>
      <c r="L21" s="55" t="n">
        <v>400000</v>
      </c>
      <c r="M21" s="55" t="n">
        <v>400000</v>
      </c>
      <c r="N21" s="55" t="n">
        <v>400000</v>
      </c>
      <c r="O21" s="56">
        <f>SUM(C21:N21)</f>
        <v/>
      </c>
    </row>
    <row r="22">
      <c r="A22" s="16" t="inlineStr">
        <is>
          <t>Expensa Casa</t>
        </is>
      </c>
      <c r="B22" s="54" t="inlineStr">
        <is>
          <t>Variable/Mensual</t>
        </is>
      </c>
      <c r="C22" s="55" t="n">
        <v>300000</v>
      </c>
      <c r="D22" s="55" t="n">
        <v>300000</v>
      </c>
      <c r="E22" s="55" t="n">
        <v>300000</v>
      </c>
      <c r="F22" s="55" t="n">
        <v>300000</v>
      </c>
      <c r="G22" s="55" t="n">
        <v>300000</v>
      </c>
      <c r="H22" s="55" t="n">
        <v>300000</v>
      </c>
      <c r="I22" s="55" t="n">
        <v>300000</v>
      </c>
      <c r="J22" s="55" t="n">
        <v>300000</v>
      </c>
      <c r="K22" s="55" t="n">
        <v>300000</v>
      </c>
      <c r="L22" s="55" t="n">
        <v>300000</v>
      </c>
      <c r="M22" s="55" t="n">
        <v>300000</v>
      </c>
      <c r="N22" s="55" t="n">
        <v>300000</v>
      </c>
      <c r="O22" s="56">
        <f>SUM(C22:N22)</f>
        <v/>
      </c>
    </row>
    <row r="23">
      <c r="A23" s="16" t="inlineStr">
        <is>
          <t>Na Luisa</t>
        </is>
      </c>
      <c r="B23" s="54" t="inlineStr">
        <is>
          <t>Fijo/Mensual</t>
        </is>
      </c>
      <c r="C23" s="55" t="n">
        <v>1200000</v>
      </c>
      <c r="D23" s="55" t="n">
        <v>1200000</v>
      </c>
      <c r="E23" s="55" t="n">
        <v>1200000</v>
      </c>
      <c r="F23" s="55" t="n">
        <v>1200000</v>
      </c>
      <c r="G23" s="55" t="n">
        <v>1200000</v>
      </c>
      <c r="H23" s="55" t="n">
        <v>1200000</v>
      </c>
      <c r="I23" s="55" t="n">
        <v>1200000</v>
      </c>
      <c r="J23" s="55" t="n">
        <v>1200000</v>
      </c>
      <c r="K23" s="55" t="n">
        <v>1200000</v>
      </c>
      <c r="L23" s="55" t="n">
        <v>1200000</v>
      </c>
      <c r="M23" s="55" t="n">
        <v>1200000</v>
      </c>
      <c r="N23" s="55" t="n">
        <v>1200000</v>
      </c>
      <c r="O23" s="56">
        <f>SUM(C23:N23)</f>
        <v/>
      </c>
    </row>
    <row r="24">
      <c r="A24" s="16" t="inlineStr">
        <is>
          <t>Contadora Marco</t>
        </is>
      </c>
      <c r="B24" s="54" t="inlineStr">
        <is>
          <t>Fijo/Mensual</t>
        </is>
      </c>
      <c r="C24" s="55" t="n">
        <v>350000</v>
      </c>
      <c r="D24" s="55" t="n">
        <v>350000</v>
      </c>
      <c r="E24" s="55" t="n">
        <v>350000</v>
      </c>
      <c r="F24" s="55" t="n">
        <v>350000</v>
      </c>
      <c r="G24" s="55" t="n">
        <v>350000</v>
      </c>
      <c r="H24" s="55" t="n">
        <v>350000</v>
      </c>
      <c r="I24" s="55" t="n">
        <v>350000</v>
      </c>
      <c r="J24" s="55" t="n">
        <v>350000</v>
      </c>
      <c r="K24" s="55" t="n">
        <v>350000</v>
      </c>
      <c r="L24" s="55" t="n">
        <v>350000</v>
      </c>
      <c r="M24" s="55" t="n">
        <v>350000</v>
      </c>
      <c r="N24" s="55" t="n">
        <v>350000</v>
      </c>
      <c r="O24" s="56">
        <f>SUM(C24:N24)</f>
        <v/>
      </c>
    </row>
    <row r="25">
      <c r="A25" s="16" t="inlineStr">
        <is>
          <t>Reserva</t>
        </is>
      </c>
      <c r="B25" s="54" t="n"/>
      <c r="C25" s="55" t="n">
        <v>0</v>
      </c>
      <c r="D25" s="55" t="n">
        <v>0</v>
      </c>
      <c r="E25" s="55" t="n">
        <v>0</v>
      </c>
      <c r="F25" s="55" t="n">
        <v>0</v>
      </c>
      <c r="G25" s="55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6">
        <f>SUM(C25:N25)</f>
        <v/>
      </c>
    </row>
    <row r="26">
      <c r="A26" s="44" t="inlineStr">
        <is>
          <t>SUBTOTAL GASTOS FIJOS</t>
        </is>
      </c>
      <c r="B26" s="61" t="n"/>
      <c r="C26" s="62">
        <f>SUM(C17:C25)</f>
        <v/>
      </c>
      <c r="D26" s="62">
        <f>SUM(D17:D25)</f>
        <v/>
      </c>
      <c r="E26" s="62">
        <f>SUM(E17:E25)</f>
        <v/>
      </c>
      <c r="F26" s="62">
        <f>SUM(F17:F25)</f>
        <v/>
      </c>
      <c r="G26" s="62">
        <f>SUM(G17:G25)</f>
        <v/>
      </c>
      <c r="H26" s="62">
        <f>SUM(H17:H25)</f>
        <v/>
      </c>
      <c r="I26" s="62">
        <f>SUM(I17:I25)</f>
        <v/>
      </c>
      <c r="J26" s="62">
        <f>SUM(J17:J25)</f>
        <v/>
      </c>
      <c r="K26" s="62">
        <f>SUM(K17:K25)</f>
        <v/>
      </c>
      <c r="L26" s="62">
        <f>SUM(L17:L25)</f>
        <v/>
      </c>
      <c r="M26" s="62">
        <f>SUM(M17:M25)</f>
        <v/>
      </c>
      <c r="N26" s="62">
        <f>SUM(N17:N25)</f>
        <v/>
      </c>
      <c r="O26" s="63">
        <f>SUM(C26:N26)</f>
        <v/>
      </c>
    </row>
    <row r="27">
      <c r="A27" s="60" t="inlineStr">
        <is>
          <t>EGRESOS - CUOTAS Y PRESTAMOS</t>
        </is>
      </c>
    </row>
    <row r="28">
      <c r="A28" s="16" t="inlineStr">
        <is>
          <t>Cajubi Marco</t>
        </is>
      </c>
      <c r="B28" s="54" t="inlineStr">
        <is>
          <t>Fijo/Mensual</t>
        </is>
      </c>
      <c r="C28" s="55" t="n">
        <v>200000</v>
      </c>
      <c r="D28" s="55" t="n">
        <v>200000</v>
      </c>
      <c r="E28" s="55" t="n">
        <v>200000</v>
      </c>
      <c r="F28" s="55" t="n">
        <v>200000</v>
      </c>
      <c r="G28" s="55" t="n">
        <v>200000</v>
      </c>
      <c r="H28" s="55" t="n">
        <v>200000</v>
      </c>
      <c r="I28" s="55" t="n">
        <v>200000</v>
      </c>
      <c r="J28" s="55" t="n">
        <v>200000</v>
      </c>
      <c r="K28" s="55" t="n">
        <v>200000</v>
      </c>
      <c r="L28" s="55" t="n">
        <v>200000</v>
      </c>
      <c r="M28" s="55" t="n">
        <v>200000</v>
      </c>
      <c r="N28" s="55" t="n">
        <v>200000</v>
      </c>
      <c r="O28" s="56">
        <f>SUM(C28:N28)</f>
        <v/>
      </c>
    </row>
    <row r="29">
      <c r="A29" s="16" t="inlineStr">
        <is>
          <t>Mutual Marco</t>
        </is>
      </c>
      <c r="B29" s="54" t="inlineStr">
        <is>
          <t>Variable/Mensual</t>
        </is>
      </c>
      <c r="C29" s="55" t="n">
        <v>150000</v>
      </c>
      <c r="D29" s="55" t="n">
        <v>150000</v>
      </c>
      <c r="E29" s="55" t="n">
        <v>150000</v>
      </c>
      <c r="F29" s="55" t="n">
        <v>150000</v>
      </c>
      <c r="G29" s="55" t="n">
        <v>150000</v>
      </c>
      <c r="H29" s="55" t="n">
        <v>150000</v>
      </c>
      <c r="I29" s="55" t="n">
        <v>150000</v>
      </c>
      <c r="J29" s="55" t="n">
        <v>150000</v>
      </c>
      <c r="K29" s="55" t="n">
        <v>150000</v>
      </c>
      <c r="L29" s="55" t="n">
        <v>150000</v>
      </c>
      <c r="M29" s="55" t="n">
        <v>150000</v>
      </c>
      <c r="N29" s="55" t="n">
        <v>150000</v>
      </c>
      <c r="O29" s="56">
        <f>SUM(C29:N29)</f>
        <v/>
      </c>
    </row>
    <row r="30">
      <c r="A30" s="16" t="inlineStr">
        <is>
          <t>Cuota ITAU</t>
        </is>
      </c>
      <c r="B30" s="54" t="inlineStr">
        <is>
          <t>Fijo/Mensual</t>
        </is>
      </c>
      <c r="C30" s="55" t="n">
        <v>391000</v>
      </c>
      <c r="D30" s="55" t="n">
        <v>391000</v>
      </c>
      <c r="E30" s="55" t="n">
        <v>391000</v>
      </c>
      <c r="F30" s="55" t="n">
        <v>391000</v>
      </c>
      <c r="G30" s="55" t="n">
        <v>391000</v>
      </c>
      <c r="H30" s="55" t="n">
        <v>391000</v>
      </c>
      <c r="I30" s="55" t="n">
        <v>391000</v>
      </c>
      <c r="J30" s="55" t="n">
        <v>391000</v>
      </c>
      <c r="K30" s="55" t="n">
        <v>391000</v>
      </c>
      <c r="L30" s="55" t="n">
        <v>391000</v>
      </c>
      <c r="M30" s="55" t="n">
        <v>391000</v>
      </c>
      <c r="N30" s="55" t="n">
        <v>391000</v>
      </c>
      <c r="O30" s="56">
        <f>SUM(C30:N30)</f>
        <v/>
      </c>
    </row>
    <row r="31">
      <c r="A31" s="16" t="inlineStr">
        <is>
          <t>Auto Laura Cuota</t>
        </is>
      </c>
      <c r="B31" s="54" t="inlineStr">
        <is>
          <t>Fijo/Mensual</t>
        </is>
      </c>
      <c r="C31" s="55" t="n">
        <v>2000000</v>
      </c>
      <c r="D31" s="55" t="n">
        <v>2000000</v>
      </c>
      <c r="E31" s="55" t="n">
        <v>2000000</v>
      </c>
      <c r="F31" s="55" t="n">
        <v>2000000</v>
      </c>
      <c r="G31" s="55" t="n">
        <v>2000000</v>
      </c>
      <c r="H31" s="55" t="n">
        <v>2000000</v>
      </c>
      <c r="I31" s="55" t="n">
        <v>2000000</v>
      </c>
      <c r="J31" s="55" t="n">
        <v>2000000</v>
      </c>
      <c r="K31" s="55" t="n">
        <v>2000000</v>
      </c>
      <c r="L31" s="55" t="n">
        <v>2000000</v>
      </c>
      <c r="M31" s="55" t="n">
        <v>2000000</v>
      </c>
      <c r="N31" s="55" t="n">
        <v>2000000</v>
      </c>
      <c r="O31" s="56">
        <f>SUM(C31:N31)</f>
        <v/>
      </c>
    </row>
    <row r="32">
      <c r="A32" s="16" t="inlineStr">
        <is>
          <t>Coop. Universitaria Clara</t>
        </is>
      </c>
      <c r="B32" s="54" t="inlineStr">
        <is>
          <t>Fijo/Mensual</t>
        </is>
      </c>
      <c r="C32" s="55" t="n">
        <v>800000</v>
      </c>
      <c r="D32" s="55" t="n">
        <v>800000</v>
      </c>
      <c r="E32" s="55" t="n">
        <v>800000</v>
      </c>
      <c r="F32" s="55" t="n">
        <v>800000</v>
      </c>
      <c r="G32" s="55" t="n">
        <v>800000</v>
      </c>
      <c r="H32" s="55" t="n">
        <v>800000</v>
      </c>
      <c r="I32" s="55" t="n">
        <v>800000</v>
      </c>
      <c r="J32" s="55" t="n">
        <v>800000</v>
      </c>
      <c r="K32" s="55" t="n">
        <v>800000</v>
      </c>
      <c r="L32" s="55" t="n">
        <v>800000</v>
      </c>
      <c r="M32" s="55" t="n">
        <v>800000</v>
      </c>
      <c r="N32" s="55" t="n">
        <v>800000</v>
      </c>
      <c r="O32" s="56">
        <f>SUM(C32:N32)</f>
        <v/>
      </c>
    </row>
    <row r="33">
      <c r="A33" s="16" t="inlineStr">
        <is>
          <t>Coomecipar Clara</t>
        </is>
      </c>
      <c r="B33" s="54" t="inlineStr">
        <is>
          <t>Fijo/Mensual</t>
        </is>
      </c>
      <c r="C33" s="55" t="n">
        <v>500000</v>
      </c>
      <c r="D33" s="55" t="n">
        <v>500000</v>
      </c>
      <c r="E33" s="55" t="n">
        <v>500000</v>
      </c>
      <c r="F33" s="55" t="n">
        <v>500000</v>
      </c>
      <c r="G33" s="55" t="n">
        <v>500000</v>
      </c>
      <c r="H33" s="55" t="n">
        <v>500000</v>
      </c>
      <c r="I33" s="55" t="n">
        <v>500000</v>
      </c>
      <c r="J33" s="55" t="n">
        <v>500000</v>
      </c>
      <c r="K33" s="55" t="n">
        <v>500000</v>
      </c>
      <c r="L33" s="55" t="n">
        <v>500000</v>
      </c>
      <c r="M33" s="55" t="n">
        <v>500000</v>
      </c>
      <c r="N33" s="55" t="n">
        <v>500000</v>
      </c>
      <c r="O33" s="56">
        <f>SUM(C33:N33)</f>
        <v/>
      </c>
    </row>
    <row r="34">
      <c r="A34" s="16" t="inlineStr">
        <is>
          <t>Solar Prestamo 1</t>
        </is>
      </c>
      <c r="B34" s="54" t="inlineStr">
        <is>
          <t>Fijo/Mensual</t>
        </is>
      </c>
      <c r="C34" s="55" t="n">
        <v>850000</v>
      </c>
      <c r="D34" s="55" t="n">
        <v>850000</v>
      </c>
      <c r="E34" s="55" t="n">
        <v>850000</v>
      </c>
      <c r="F34" s="55" t="n">
        <v>850000</v>
      </c>
      <c r="G34" s="55" t="n">
        <v>850000</v>
      </c>
      <c r="H34" s="55" t="n">
        <v>850000</v>
      </c>
      <c r="I34" s="55" t="n">
        <v>850000</v>
      </c>
      <c r="J34" s="55" t="n">
        <v>850000</v>
      </c>
      <c r="K34" s="55" t="n">
        <v>850000</v>
      </c>
      <c r="L34" s="55" t="n">
        <v>850000</v>
      </c>
      <c r="M34" s="55" t="n">
        <v>850000</v>
      </c>
      <c r="N34" s="55" t="n">
        <v>850000</v>
      </c>
      <c r="O34" s="56">
        <f>SUM(C34:N34)</f>
        <v/>
      </c>
    </row>
    <row r="35">
      <c r="A35" s="16" t="inlineStr">
        <is>
          <t>Solar Prestamo 2</t>
        </is>
      </c>
      <c r="B35" s="54" t="inlineStr">
        <is>
          <t>Fijo/Mensual</t>
        </is>
      </c>
      <c r="C35" s="55" t="n">
        <v>650000</v>
      </c>
      <c r="D35" s="55" t="n">
        <v>650000</v>
      </c>
      <c r="E35" s="55" t="n">
        <v>650000</v>
      </c>
      <c r="F35" s="55" t="n">
        <v>650000</v>
      </c>
      <c r="G35" s="55" t="n">
        <v>650000</v>
      </c>
      <c r="H35" s="55" t="n">
        <v>650000</v>
      </c>
      <c r="I35" s="55" t="n">
        <v>650000</v>
      </c>
      <c r="J35" s="55" t="n">
        <v>650000</v>
      </c>
      <c r="K35" s="55" t="n">
        <v>650000</v>
      </c>
      <c r="L35" s="55" t="n">
        <v>650000</v>
      </c>
      <c r="M35" s="55" t="n">
        <v>650000</v>
      </c>
      <c r="N35" s="55" t="n">
        <v>650000</v>
      </c>
      <c r="O35" s="56">
        <f>SUM(C35:N35)</f>
        <v/>
      </c>
    </row>
    <row r="36">
      <c r="A36" s="16" t="inlineStr">
        <is>
          <t>Reserva</t>
        </is>
      </c>
      <c r="B36" s="54" t="n"/>
      <c r="C36" s="55" t="n">
        <v>0</v>
      </c>
      <c r="D36" s="55" t="n">
        <v>0</v>
      </c>
      <c r="E36" s="55" t="n">
        <v>0</v>
      </c>
      <c r="F36" s="55" t="n">
        <v>0</v>
      </c>
      <c r="G36" s="55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6">
        <f>SUM(C36:N36)</f>
        <v/>
      </c>
    </row>
    <row r="37">
      <c r="A37" s="44" t="inlineStr">
        <is>
          <t>SUBTOTAL CUOTAS Y PRESTAMOS</t>
        </is>
      </c>
      <c r="B37" s="61" t="n"/>
      <c r="C37" s="62">
        <f>SUM(C28:C36)</f>
        <v/>
      </c>
      <c r="D37" s="62">
        <f>SUM(D28:D36)</f>
        <v/>
      </c>
      <c r="E37" s="62">
        <f>SUM(E28:E36)</f>
        <v/>
      </c>
      <c r="F37" s="62">
        <f>SUM(F28:F36)</f>
        <v/>
      </c>
      <c r="G37" s="62">
        <f>SUM(G28:G36)</f>
        <v/>
      </c>
      <c r="H37" s="62">
        <f>SUM(H28:H36)</f>
        <v/>
      </c>
      <c r="I37" s="62">
        <f>SUM(I28:I36)</f>
        <v/>
      </c>
      <c r="J37" s="62">
        <f>SUM(J28:J36)</f>
        <v/>
      </c>
      <c r="K37" s="62">
        <f>SUM(K28:K36)</f>
        <v/>
      </c>
      <c r="L37" s="62">
        <f>SUM(L28:L36)</f>
        <v/>
      </c>
      <c r="M37" s="62">
        <f>SUM(M28:M36)</f>
        <v/>
      </c>
      <c r="N37" s="62">
        <f>SUM(N28:N36)</f>
        <v/>
      </c>
      <c r="O37" s="63">
        <f>SUM(C37:N37)</f>
        <v/>
      </c>
    </row>
    <row r="38">
      <c r="A38" s="60" t="inlineStr">
        <is>
          <t>EGRESOS - SUSCRIPCIONES</t>
        </is>
      </c>
    </row>
    <row r="39">
      <c r="A39" s="16" t="inlineStr">
        <is>
          <t>Giganet</t>
        </is>
      </c>
      <c r="B39" s="16" t="inlineStr">
        <is>
          <t>Fijo/Mensual</t>
        </is>
      </c>
      <c r="C39" s="55" t="n">
        <v>250000</v>
      </c>
      <c r="D39" s="55" t="n">
        <v>250000</v>
      </c>
      <c r="E39" s="55" t="n">
        <v>250000</v>
      </c>
      <c r="F39" s="55" t="n">
        <v>250000</v>
      </c>
      <c r="G39" s="55" t="n">
        <v>250000</v>
      </c>
      <c r="H39" s="55" t="n">
        <v>250000</v>
      </c>
      <c r="I39" s="55" t="n">
        <v>250000</v>
      </c>
      <c r="J39" s="55" t="n">
        <v>250000</v>
      </c>
      <c r="K39" s="55" t="n">
        <v>250000</v>
      </c>
      <c r="L39" s="55" t="n">
        <v>250000</v>
      </c>
      <c r="M39" s="55" t="n">
        <v>250000</v>
      </c>
      <c r="N39" s="55" t="n">
        <v>250000</v>
      </c>
      <c r="O39" s="56">
        <f>SUM(C39:N39)</f>
        <v/>
      </c>
    </row>
    <row r="40">
      <c r="A40" s="16" t="inlineStr">
        <is>
          <t>Tigo Familiar</t>
        </is>
      </c>
      <c r="B40" s="16" t="inlineStr">
        <is>
          <t>Fijo/Mensual</t>
        </is>
      </c>
      <c r="C40" s="55" t="n">
        <v>320000</v>
      </c>
      <c r="D40" s="55" t="n">
        <v>320000</v>
      </c>
      <c r="E40" s="55" t="n">
        <v>320000</v>
      </c>
      <c r="F40" s="55" t="n">
        <v>320000</v>
      </c>
      <c r="G40" s="55" t="n">
        <v>320000</v>
      </c>
      <c r="H40" s="55" t="n">
        <v>320000</v>
      </c>
      <c r="I40" s="55" t="n">
        <v>320000</v>
      </c>
      <c r="J40" s="55" t="n">
        <v>320000</v>
      </c>
      <c r="K40" s="55" t="n">
        <v>320000</v>
      </c>
      <c r="L40" s="55" t="n">
        <v>320000</v>
      </c>
      <c r="M40" s="55" t="n">
        <v>320000</v>
      </c>
      <c r="N40" s="55" t="n">
        <v>320000</v>
      </c>
      <c r="O40" s="56">
        <f>SUM(C40:N40)</f>
        <v/>
      </c>
    </row>
    <row r="41">
      <c r="A41" s="16" t="inlineStr">
        <is>
          <t>Reserva</t>
        </is>
      </c>
      <c r="B41" s="16" t="n"/>
      <c r="C41" s="55" t="n">
        <v>0</v>
      </c>
      <c r="D41" s="55" t="n">
        <v>0</v>
      </c>
      <c r="E41" s="55" t="n">
        <v>0</v>
      </c>
      <c r="F41" s="55" t="n">
        <v>0</v>
      </c>
      <c r="G41" s="55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6">
        <f>SUM(C41:N41)</f>
        <v/>
      </c>
    </row>
    <row r="42">
      <c r="A42" s="44" t="inlineStr">
        <is>
          <t>SUBTOTAL SUSCRIPCIONES</t>
        </is>
      </c>
      <c r="B42" s="61" t="n"/>
      <c r="C42" s="62">
        <f>SUM(C39:C41)</f>
        <v/>
      </c>
      <c r="D42" s="62">
        <f>SUM(D39:D41)</f>
        <v/>
      </c>
      <c r="E42" s="62">
        <f>SUM(E39:E41)</f>
        <v/>
      </c>
      <c r="F42" s="62">
        <f>SUM(F39:F41)</f>
        <v/>
      </c>
      <c r="G42" s="62">
        <f>SUM(G39:G41)</f>
        <v/>
      </c>
      <c r="H42" s="62">
        <f>SUM(H39:H41)</f>
        <v/>
      </c>
      <c r="I42" s="62">
        <f>SUM(I39:I41)</f>
        <v/>
      </c>
      <c r="J42" s="62">
        <f>SUM(J39:J41)</f>
        <v/>
      </c>
      <c r="K42" s="62">
        <f>SUM(K39:K41)</f>
        <v/>
      </c>
      <c r="L42" s="62">
        <f>SUM(L39:L41)</f>
        <v/>
      </c>
      <c r="M42" s="62">
        <f>SUM(M39:M41)</f>
        <v/>
      </c>
      <c r="N42" s="62">
        <f>SUM(N39:N41)</f>
        <v/>
      </c>
      <c r="O42" s="63">
        <f>SUM(C42:N42)</f>
        <v/>
      </c>
    </row>
    <row r="43">
      <c r="A43" s="60" t="inlineStr">
        <is>
          <t>EGRESOS - VARIABLES</t>
        </is>
      </c>
    </row>
    <row r="44">
      <c r="A44" s="16" t="inlineStr">
        <is>
          <t>Supermercado</t>
        </is>
      </c>
      <c r="B44" s="16" t="inlineStr">
        <is>
          <t>Variable</t>
        </is>
      </c>
      <c r="C44" s="55" t="n">
        <v>800000</v>
      </c>
      <c r="D44" s="55" t="n">
        <v>800000</v>
      </c>
      <c r="E44" s="55" t="n">
        <v>800000</v>
      </c>
      <c r="F44" s="55" t="n">
        <v>800000</v>
      </c>
      <c r="G44" s="55" t="n">
        <v>800000</v>
      </c>
      <c r="H44" s="55" t="n">
        <v>800000</v>
      </c>
      <c r="I44" s="55" t="n">
        <v>800000</v>
      </c>
      <c r="J44" s="55" t="n">
        <v>800000</v>
      </c>
      <c r="K44" s="55" t="n">
        <v>800000</v>
      </c>
      <c r="L44" s="55" t="n">
        <v>800000</v>
      </c>
      <c r="M44" s="55" t="n">
        <v>800000</v>
      </c>
      <c r="N44" s="55" t="n">
        <v>800000</v>
      </c>
      <c r="O44" s="56">
        <f>SUM(C44:N44)</f>
        <v/>
      </c>
    </row>
    <row r="45">
      <c r="A45" s="16" t="inlineStr">
        <is>
          <t>Combustible</t>
        </is>
      </c>
      <c r="B45" s="16" t="inlineStr">
        <is>
          <t>Variable</t>
        </is>
      </c>
      <c r="C45" s="55" t="n">
        <v>600000</v>
      </c>
      <c r="D45" s="55" t="n">
        <v>600000</v>
      </c>
      <c r="E45" s="55" t="n">
        <v>600000</v>
      </c>
      <c r="F45" s="55" t="n">
        <v>600000</v>
      </c>
      <c r="G45" s="55" t="n">
        <v>600000</v>
      </c>
      <c r="H45" s="55" t="n">
        <v>600000</v>
      </c>
      <c r="I45" s="55" t="n">
        <v>600000</v>
      </c>
      <c r="J45" s="55" t="n">
        <v>600000</v>
      </c>
      <c r="K45" s="55" t="n">
        <v>600000</v>
      </c>
      <c r="L45" s="55" t="n">
        <v>600000</v>
      </c>
      <c r="M45" s="55" t="n">
        <v>600000</v>
      </c>
      <c r="N45" s="55" t="n">
        <v>600000</v>
      </c>
      <c r="O45" s="56">
        <f>SUM(C45:N45)</f>
        <v/>
      </c>
    </row>
    <row r="46">
      <c r="A46" s="16" t="inlineStr">
        <is>
          <t>Salud y Medicamentos</t>
        </is>
      </c>
      <c r="B46" s="16" t="inlineStr">
        <is>
          <t>Variable</t>
        </is>
      </c>
      <c r="C46" s="55" t="n">
        <v>300000</v>
      </c>
      <c r="D46" s="55" t="n">
        <v>300000</v>
      </c>
      <c r="E46" s="55" t="n">
        <v>300000</v>
      </c>
      <c r="F46" s="55" t="n">
        <v>300000</v>
      </c>
      <c r="G46" s="55" t="n">
        <v>300000</v>
      </c>
      <c r="H46" s="55" t="n">
        <v>300000</v>
      </c>
      <c r="I46" s="55" t="n">
        <v>300000</v>
      </c>
      <c r="J46" s="55" t="n">
        <v>300000</v>
      </c>
      <c r="K46" s="55" t="n">
        <v>300000</v>
      </c>
      <c r="L46" s="55" t="n">
        <v>300000</v>
      </c>
      <c r="M46" s="55" t="n">
        <v>300000</v>
      </c>
      <c r="N46" s="55" t="n">
        <v>300000</v>
      </c>
      <c r="O46" s="56">
        <f>SUM(C46:N46)</f>
        <v/>
      </c>
    </row>
    <row r="47">
      <c r="A47" s="16" t="inlineStr">
        <is>
          <t>Recreacion</t>
        </is>
      </c>
      <c r="B47" s="16" t="inlineStr">
        <is>
          <t>Variable</t>
        </is>
      </c>
      <c r="C47" s="55" t="n">
        <v>200000</v>
      </c>
      <c r="D47" s="55" t="n">
        <v>200000</v>
      </c>
      <c r="E47" s="55" t="n">
        <v>200000</v>
      </c>
      <c r="F47" s="55" t="n">
        <v>200000</v>
      </c>
      <c r="G47" s="55" t="n">
        <v>200000</v>
      </c>
      <c r="H47" s="55" t="n">
        <v>200000</v>
      </c>
      <c r="I47" s="55" t="n">
        <v>200000</v>
      </c>
      <c r="J47" s="55" t="n">
        <v>200000</v>
      </c>
      <c r="K47" s="55" t="n">
        <v>200000</v>
      </c>
      <c r="L47" s="55" t="n">
        <v>200000</v>
      </c>
      <c r="M47" s="55" t="n">
        <v>200000</v>
      </c>
      <c r="N47" s="55" t="n">
        <v>200000</v>
      </c>
      <c r="O47" s="56">
        <f>SUM(C47:N47)</f>
        <v/>
      </c>
    </row>
    <row r="48">
      <c r="A48" s="16" t="inlineStr">
        <is>
          <t>Gastos no identificados</t>
        </is>
      </c>
      <c r="B48" s="16" t="inlineStr">
        <is>
          <t>Variable</t>
        </is>
      </c>
      <c r="C48" s="55" t="n">
        <v>300000</v>
      </c>
      <c r="D48" s="55" t="n">
        <v>300000</v>
      </c>
      <c r="E48" s="55" t="n">
        <v>300000</v>
      </c>
      <c r="F48" s="55" t="n">
        <v>300000</v>
      </c>
      <c r="G48" s="55" t="n">
        <v>300000</v>
      </c>
      <c r="H48" s="55" t="n">
        <v>300000</v>
      </c>
      <c r="I48" s="55" t="n">
        <v>300000</v>
      </c>
      <c r="J48" s="55" t="n">
        <v>300000</v>
      </c>
      <c r="K48" s="55" t="n">
        <v>300000</v>
      </c>
      <c r="L48" s="55" t="n">
        <v>300000</v>
      </c>
      <c r="M48" s="55" t="n">
        <v>300000</v>
      </c>
      <c r="N48" s="55" t="n">
        <v>300000</v>
      </c>
      <c r="O48" s="56">
        <f>SUM(C48:N48)</f>
        <v/>
      </c>
    </row>
    <row r="49">
      <c r="A49" s="16" t="inlineStr">
        <is>
          <t>Reserva</t>
        </is>
      </c>
      <c r="B49" s="16" t="n"/>
      <c r="C49" s="55" t="n">
        <v>0</v>
      </c>
      <c r="D49" s="55" t="n">
        <v>0</v>
      </c>
      <c r="E49" s="55" t="n">
        <v>0</v>
      </c>
      <c r="F49" s="55" t="n">
        <v>0</v>
      </c>
      <c r="G49" s="55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6">
        <f>SUM(C49:N49)</f>
        <v/>
      </c>
    </row>
    <row r="50">
      <c r="A50" s="44" t="inlineStr">
        <is>
          <t>SUBTOTAL VARIABLES</t>
        </is>
      </c>
      <c r="B50" s="61" t="n"/>
      <c r="C50" s="62">
        <f>SUM(C44:C49)</f>
        <v/>
      </c>
      <c r="D50" s="62">
        <f>SUM(D44:D49)</f>
        <v/>
      </c>
      <c r="E50" s="62">
        <f>SUM(E44:E49)</f>
        <v/>
      </c>
      <c r="F50" s="62">
        <f>SUM(F44:F49)</f>
        <v/>
      </c>
      <c r="G50" s="62">
        <f>SUM(G44:G49)</f>
        <v/>
      </c>
      <c r="H50" s="62">
        <f>SUM(H44:H49)</f>
        <v/>
      </c>
      <c r="I50" s="62">
        <f>SUM(I44:I49)</f>
        <v/>
      </c>
      <c r="J50" s="62">
        <f>SUM(J44:J49)</f>
        <v/>
      </c>
      <c r="K50" s="62">
        <f>SUM(K44:K49)</f>
        <v/>
      </c>
      <c r="L50" s="62">
        <f>SUM(L44:L49)</f>
        <v/>
      </c>
      <c r="M50" s="62">
        <f>SUM(M44:M49)</f>
        <v/>
      </c>
      <c r="N50" s="62">
        <f>SUM(N44:N49)</f>
        <v/>
      </c>
      <c r="O50" s="63">
        <f>SUM(C50:N50)</f>
        <v/>
      </c>
    </row>
    <row r="51">
      <c r="A51" s="64" t="inlineStr">
        <is>
          <t>TOTAL EGRESOS FAMILIA</t>
        </is>
      </c>
      <c r="B51" s="65" t="n"/>
      <c r="C51" s="66">
        <f>C26+C37+C42+C50</f>
        <v/>
      </c>
      <c r="D51" s="66">
        <f>D26+D37+D42+D50</f>
        <v/>
      </c>
      <c r="E51" s="66">
        <f>E26+E37+E42+E50</f>
        <v/>
      </c>
      <c r="F51" s="66">
        <f>F26+F37+F42+F50</f>
        <v/>
      </c>
      <c r="G51" s="66">
        <f>G26+G37+G42+G50</f>
        <v/>
      </c>
      <c r="H51" s="66">
        <f>H26+H37+H42+H50</f>
        <v/>
      </c>
      <c r="I51" s="66">
        <f>I26+I37+I42+I50</f>
        <v/>
      </c>
      <c r="J51" s="66">
        <f>J26+J37+J42+J50</f>
        <v/>
      </c>
      <c r="K51" s="66">
        <f>K26+K37+K42+K50</f>
        <v/>
      </c>
      <c r="L51" s="66">
        <f>L26+L37+L42+L50</f>
        <v/>
      </c>
      <c r="M51" s="66">
        <f>M26+M37+M42+M50</f>
        <v/>
      </c>
      <c r="N51" s="66">
        <f>N26+N37+N42+N50</f>
        <v/>
      </c>
      <c r="O51" s="66">
        <f>SUM(C51:N51)</f>
        <v/>
      </c>
    </row>
    <row r="52">
      <c r="A52" s="33" t="inlineStr">
        <is>
          <t>BALANCE FAMILIA (Ing - Egr)</t>
        </is>
      </c>
      <c r="B52" s="35" t="n"/>
      <c r="C52" s="67">
        <f>C15-C51</f>
        <v/>
      </c>
      <c r="D52" s="67">
        <f>D15-D51</f>
        <v/>
      </c>
      <c r="E52" s="67">
        <f>E15-E51</f>
        <v/>
      </c>
      <c r="F52" s="67">
        <f>F15-F51</f>
        <v/>
      </c>
      <c r="G52" s="67">
        <f>G15-G51</f>
        <v/>
      </c>
      <c r="H52" s="67">
        <f>H15-H51</f>
        <v/>
      </c>
      <c r="I52" s="67">
        <f>I15-I51</f>
        <v/>
      </c>
      <c r="J52" s="67">
        <f>J15-J51</f>
        <v/>
      </c>
      <c r="K52" s="67">
        <f>K15-K51</f>
        <v/>
      </c>
      <c r="L52" s="67">
        <f>L15-L51</f>
        <v/>
      </c>
      <c r="M52" s="67">
        <f>M15-M51</f>
        <v/>
      </c>
      <c r="N52" s="67">
        <f>N15-N51</f>
        <v/>
      </c>
      <c r="O52" s="67">
        <f>SUM(C52:N52)</f>
        <v/>
      </c>
    </row>
    <row r="53"/>
    <row r="54">
      <c r="A54" s="68" t="inlineStr">
        <is>
          <t>PRESUPUESTO NEUROTEA</t>
        </is>
      </c>
    </row>
    <row r="55">
      <c r="A55" s="32" t="inlineStr">
        <is>
          <t>CONCEPTO</t>
        </is>
      </c>
      <c r="B55" s="32" t="inlineStr">
        <is>
          <t>TIPO</t>
        </is>
      </c>
      <c r="C55" s="32" t="inlineStr">
        <is>
          <t>ENE</t>
        </is>
      </c>
      <c r="D55" s="32" t="inlineStr">
        <is>
          <t>FEB</t>
        </is>
      </c>
      <c r="E55" s="32" t="inlineStr">
        <is>
          <t>MAR</t>
        </is>
      </c>
      <c r="F55" s="32" t="inlineStr">
        <is>
          <t>ABR</t>
        </is>
      </c>
      <c r="G55" s="32" t="inlineStr">
        <is>
          <t>MAY</t>
        </is>
      </c>
      <c r="H55" s="32" t="inlineStr">
        <is>
          <t>JUN</t>
        </is>
      </c>
      <c r="I55" s="32" t="inlineStr">
        <is>
          <t>JUL</t>
        </is>
      </c>
      <c r="J55" s="32" t="inlineStr">
        <is>
          <t>AGO</t>
        </is>
      </c>
      <c r="K55" s="32" t="inlineStr">
        <is>
          <t>SEP</t>
        </is>
      </c>
      <c r="L55" s="32" t="inlineStr">
        <is>
          <t>OCT</t>
        </is>
      </c>
      <c r="M55" s="32" t="inlineStr">
        <is>
          <t>NOV</t>
        </is>
      </c>
      <c r="N55" s="32" t="inlineStr">
        <is>
          <t>DIC</t>
        </is>
      </c>
      <c r="O55" s="53" t="inlineStr">
        <is>
          <t>TOTAL</t>
        </is>
      </c>
    </row>
    <row r="56">
      <c r="A56" s="52" t="inlineStr">
        <is>
          <t>INGRESOS NEUROTEA</t>
        </is>
      </c>
    </row>
    <row r="57">
      <c r="A57" s="16" t="inlineStr">
        <is>
          <t>Aporte NeuroTEA Terapeutas</t>
        </is>
      </c>
      <c r="B57" s="54" t="inlineStr">
        <is>
          <t>Variable</t>
        </is>
      </c>
      <c r="C57" s="55" t="n">
        <v>25000000</v>
      </c>
      <c r="D57" s="55" t="n">
        <v>25000000</v>
      </c>
      <c r="E57" s="55" t="n">
        <v>25000000</v>
      </c>
      <c r="F57" s="55" t="n">
        <v>25000000</v>
      </c>
      <c r="G57" s="55" t="n">
        <v>25000000</v>
      </c>
      <c r="H57" s="55" t="n">
        <v>25000000</v>
      </c>
      <c r="I57" s="55" t="n">
        <v>25000000</v>
      </c>
      <c r="J57" s="55" t="n">
        <v>25000000</v>
      </c>
      <c r="K57" s="55" t="n">
        <v>25000000</v>
      </c>
      <c r="L57" s="55" t="n">
        <v>25000000</v>
      </c>
      <c r="M57" s="55" t="n">
        <v>25000000</v>
      </c>
      <c r="N57" s="55" t="n">
        <v>25000000</v>
      </c>
      <c r="O57" s="56">
        <f>SUM(C57:N57)</f>
        <v/>
      </c>
    </row>
    <row r="58">
      <c r="A58" s="16" t="inlineStr">
        <is>
          <t>Cursos NeuroTEA</t>
        </is>
      </c>
      <c r="B58" s="54" t="inlineStr">
        <is>
          <t>Variable</t>
        </is>
      </c>
      <c r="C58" s="55" t="n">
        <v>5000000</v>
      </c>
      <c r="D58" s="55" t="n">
        <v>5000000</v>
      </c>
      <c r="E58" s="55" t="n">
        <v>5000000</v>
      </c>
      <c r="F58" s="55" t="n">
        <v>5000000</v>
      </c>
      <c r="G58" s="55" t="n">
        <v>5000000</v>
      </c>
      <c r="H58" s="55" t="n">
        <v>5000000</v>
      </c>
      <c r="I58" s="55" t="n">
        <v>5000000</v>
      </c>
      <c r="J58" s="55" t="n">
        <v>5000000</v>
      </c>
      <c r="K58" s="55" t="n">
        <v>5000000</v>
      </c>
      <c r="L58" s="55" t="n">
        <v>5000000</v>
      </c>
      <c r="M58" s="55" t="n">
        <v>5000000</v>
      </c>
      <c r="N58" s="55" t="n">
        <v>5000000</v>
      </c>
      <c r="O58" s="56">
        <f>SUM(C58:N58)</f>
        <v/>
      </c>
    </row>
    <row r="59">
      <c r="A59" s="16" t="inlineStr">
        <is>
          <t>Otros Ingresos</t>
        </is>
      </c>
      <c r="B59" s="54" t="inlineStr">
        <is>
          <t>Variable</t>
        </is>
      </c>
      <c r="C59" s="55" t="n">
        <v>0</v>
      </c>
      <c r="D59" s="55" t="n">
        <v>0</v>
      </c>
      <c r="E59" s="55" t="n">
        <v>0</v>
      </c>
      <c r="F59" s="55" t="n">
        <v>0</v>
      </c>
      <c r="G59" s="55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6">
        <f>SUM(C59:N59)</f>
        <v/>
      </c>
    </row>
    <row r="60">
      <c r="A60" s="16" t="inlineStr">
        <is>
          <t>Reserva</t>
        </is>
      </c>
      <c r="B60" s="54" t="n"/>
      <c r="C60" s="55" t="n">
        <v>0</v>
      </c>
      <c r="D60" s="55" t="n">
        <v>0</v>
      </c>
      <c r="E60" s="55" t="n">
        <v>0</v>
      </c>
      <c r="F60" s="55" t="n">
        <v>0</v>
      </c>
      <c r="G60" s="55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6">
        <f>SUM(C60:N60)</f>
        <v/>
      </c>
    </row>
    <row r="61">
      <c r="A61" s="57" t="inlineStr">
        <is>
          <t>TOTAL INGRESOS NEUROTEA</t>
        </is>
      </c>
      <c r="B61" s="58" t="n"/>
      <c r="C61" s="59">
        <f>SUM(C57:C60)</f>
        <v/>
      </c>
      <c r="D61" s="59">
        <f>SUM(D57:D60)</f>
        <v/>
      </c>
      <c r="E61" s="59">
        <f>SUM(E57:E60)</f>
        <v/>
      </c>
      <c r="F61" s="59">
        <f>SUM(F57:F60)</f>
        <v/>
      </c>
      <c r="G61" s="59">
        <f>SUM(G57:G60)</f>
        <v/>
      </c>
      <c r="H61" s="59">
        <f>SUM(H57:H60)</f>
        <v/>
      </c>
      <c r="I61" s="59">
        <f>SUM(I57:I60)</f>
        <v/>
      </c>
      <c r="J61" s="59">
        <f>SUM(J57:J60)</f>
        <v/>
      </c>
      <c r="K61" s="59">
        <f>SUM(K57:K60)</f>
        <v/>
      </c>
      <c r="L61" s="59">
        <f>SUM(L57:L60)</f>
        <v/>
      </c>
      <c r="M61" s="59">
        <f>SUM(M57:M60)</f>
        <v/>
      </c>
      <c r="N61" s="59">
        <f>SUM(N57:N60)</f>
        <v/>
      </c>
      <c r="O61" s="59">
        <f>SUM(C61:N61)</f>
        <v/>
      </c>
    </row>
    <row r="62">
      <c r="A62" s="68" t="inlineStr">
        <is>
          <t>EGRESOS NT - CLINICA</t>
        </is>
      </c>
    </row>
    <row r="63">
      <c r="A63" s="16" t="inlineStr">
        <is>
          <t>Alquiler 1 (Principal)</t>
        </is>
      </c>
      <c r="B63" s="16" t="inlineStr">
        <is>
          <t>Fijo/Mensual</t>
        </is>
      </c>
      <c r="C63" s="55" t="n">
        <v>13500000</v>
      </c>
      <c r="D63" s="55" t="n">
        <v>13500000</v>
      </c>
      <c r="E63" s="55" t="n">
        <v>13500000</v>
      </c>
      <c r="F63" s="55" t="n">
        <v>13500000</v>
      </c>
      <c r="G63" s="55" t="n">
        <v>13500000</v>
      </c>
      <c r="H63" s="55" t="n">
        <v>13500000</v>
      </c>
      <c r="I63" s="55" t="n">
        <v>13500000</v>
      </c>
      <c r="J63" s="55" t="n">
        <v>13500000</v>
      </c>
      <c r="K63" s="55" t="n">
        <v>13500000</v>
      </c>
      <c r="L63" s="55" t="n">
        <v>13500000</v>
      </c>
      <c r="M63" s="55" t="n">
        <v>13500000</v>
      </c>
      <c r="N63" s="55" t="n">
        <v>13500000</v>
      </c>
      <c r="O63" s="56">
        <f>SUM(C63:N63)</f>
        <v/>
      </c>
    </row>
    <row r="64">
      <c r="A64" s="16" t="inlineStr">
        <is>
          <t>Alquiler 2 (Secundario)</t>
        </is>
      </c>
      <c r="B64" s="16" t="inlineStr">
        <is>
          <t>Fijo/Mensual</t>
        </is>
      </c>
      <c r="C64" s="55" t="n">
        <v>4130000</v>
      </c>
      <c r="D64" s="55" t="n">
        <v>4130000</v>
      </c>
      <c r="E64" s="55" t="n">
        <v>4130000</v>
      </c>
      <c r="F64" s="55" t="n">
        <v>4130000</v>
      </c>
      <c r="G64" s="55" t="n">
        <v>4130000</v>
      </c>
      <c r="H64" s="55" t="n">
        <v>4130000</v>
      </c>
      <c r="I64" s="55" t="n">
        <v>4130000</v>
      </c>
      <c r="J64" s="55" t="n">
        <v>4130000</v>
      </c>
      <c r="K64" s="55" t="n">
        <v>4130000</v>
      </c>
      <c r="L64" s="55" t="n">
        <v>4130000</v>
      </c>
      <c r="M64" s="55" t="n">
        <v>4130000</v>
      </c>
      <c r="N64" s="55" t="n">
        <v>4130000</v>
      </c>
      <c r="O64" s="56">
        <f>SUM(C64:N64)</f>
        <v/>
      </c>
    </row>
    <row r="65">
      <c r="A65" s="16" t="inlineStr">
        <is>
          <t>ANDE Clinica</t>
        </is>
      </c>
      <c r="B65" s="16" t="inlineStr">
        <is>
          <t>Variable/Mensual</t>
        </is>
      </c>
      <c r="C65" s="55" t="n">
        <v>350000</v>
      </c>
      <c r="D65" s="55" t="n">
        <v>350000</v>
      </c>
      <c r="E65" s="55" t="n">
        <v>350000</v>
      </c>
      <c r="F65" s="55" t="n">
        <v>350000</v>
      </c>
      <c r="G65" s="55" t="n">
        <v>350000</v>
      </c>
      <c r="H65" s="55" t="n">
        <v>350000</v>
      </c>
      <c r="I65" s="55" t="n">
        <v>350000</v>
      </c>
      <c r="J65" s="55" t="n">
        <v>350000</v>
      </c>
      <c r="K65" s="55" t="n">
        <v>350000</v>
      </c>
      <c r="L65" s="55" t="n">
        <v>350000</v>
      </c>
      <c r="M65" s="55" t="n">
        <v>350000</v>
      </c>
      <c r="N65" s="55" t="n">
        <v>350000</v>
      </c>
      <c r="O65" s="56">
        <f>SUM(C65:N65)</f>
        <v/>
      </c>
    </row>
    <row r="66">
      <c r="A66" s="16" t="inlineStr">
        <is>
          <t>Reserva</t>
        </is>
      </c>
      <c r="B66" s="16" t="n"/>
      <c r="C66" s="55" t="n">
        <v>0</v>
      </c>
      <c r="D66" s="55" t="n">
        <v>0</v>
      </c>
      <c r="E66" s="55" t="n">
        <v>0</v>
      </c>
      <c r="F66" s="55" t="n">
        <v>0</v>
      </c>
      <c r="G66" s="55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6">
        <f>SUM(C66:N66)</f>
        <v/>
      </c>
    </row>
    <row r="67">
      <c r="A67" s="44" t="inlineStr">
        <is>
          <t>SUBTOTAL CLINICA</t>
        </is>
      </c>
      <c r="B67" s="61" t="n"/>
      <c r="C67" s="62">
        <f>SUM(C63:C66)</f>
        <v/>
      </c>
      <c r="D67" s="62">
        <f>SUM(D63:D66)</f>
        <v/>
      </c>
      <c r="E67" s="62">
        <f>SUM(E63:E66)</f>
        <v/>
      </c>
      <c r="F67" s="62">
        <f>SUM(F63:F66)</f>
        <v/>
      </c>
      <c r="G67" s="62">
        <f>SUM(G63:G66)</f>
        <v/>
      </c>
      <c r="H67" s="62">
        <f>SUM(H63:H66)</f>
        <v/>
      </c>
      <c r="I67" s="62">
        <f>SUM(I63:I66)</f>
        <v/>
      </c>
      <c r="J67" s="62">
        <f>SUM(J63:J66)</f>
        <v/>
      </c>
      <c r="K67" s="62">
        <f>SUM(K63:K66)</f>
        <v/>
      </c>
      <c r="L67" s="62">
        <f>SUM(L63:L66)</f>
        <v/>
      </c>
      <c r="M67" s="62">
        <f>SUM(M63:M66)</f>
        <v/>
      </c>
      <c r="N67" s="62">
        <f>SUM(N63:N66)</f>
        <v/>
      </c>
      <c r="O67" s="63">
        <f>SUM(C67:N67)</f>
        <v/>
      </c>
    </row>
    <row r="68">
      <c r="A68" s="68" t="inlineStr">
        <is>
          <t>EGRESOS NT - SUELDOS Y HONORARIOS</t>
        </is>
      </c>
    </row>
    <row r="69">
      <c r="A69" s="16" t="inlineStr">
        <is>
          <t>Sueldo Aracely</t>
        </is>
      </c>
      <c r="B69" s="16" t="inlineStr">
        <is>
          <t>Fijo/Mensual</t>
        </is>
      </c>
      <c r="C69" s="55" t="n">
        <v>2000000</v>
      </c>
      <c r="D69" s="55" t="n">
        <v>2000000</v>
      </c>
      <c r="E69" s="55" t="n">
        <v>2000000</v>
      </c>
      <c r="F69" s="55" t="n">
        <v>2000000</v>
      </c>
      <c r="G69" s="55" t="n">
        <v>2000000</v>
      </c>
      <c r="H69" s="55" t="n">
        <v>2000000</v>
      </c>
      <c r="I69" s="55" t="n">
        <v>2000000</v>
      </c>
      <c r="J69" s="55" t="n">
        <v>2000000</v>
      </c>
      <c r="K69" s="55" t="n">
        <v>2000000</v>
      </c>
      <c r="L69" s="55" t="n">
        <v>2000000</v>
      </c>
      <c r="M69" s="55" t="n">
        <v>2000000</v>
      </c>
      <c r="N69" s="55" t="n">
        <v>2000000</v>
      </c>
      <c r="O69" s="56">
        <f>SUM(C69:N69)</f>
        <v/>
      </c>
    </row>
    <row r="70">
      <c r="A70" s="16" t="inlineStr">
        <is>
          <t>Sueldo Fatima</t>
        </is>
      </c>
      <c r="B70" s="16" t="inlineStr">
        <is>
          <t>Fijo/Mensual</t>
        </is>
      </c>
      <c r="C70" s="55" t="n">
        <v>1800000</v>
      </c>
      <c r="D70" s="55" t="n">
        <v>1800000</v>
      </c>
      <c r="E70" s="55" t="n">
        <v>1800000</v>
      </c>
      <c r="F70" s="55" t="n">
        <v>1800000</v>
      </c>
      <c r="G70" s="55" t="n">
        <v>1800000</v>
      </c>
      <c r="H70" s="55" t="n">
        <v>1800000</v>
      </c>
      <c r="I70" s="55" t="n">
        <v>1800000</v>
      </c>
      <c r="J70" s="55" t="n">
        <v>1800000</v>
      </c>
      <c r="K70" s="55" t="n">
        <v>1800000</v>
      </c>
      <c r="L70" s="55" t="n">
        <v>1800000</v>
      </c>
      <c r="M70" s="55" t="n">
        <v>1800000</v>
      </c>
      <c r="N70" s="55" t="n">
        <v>1800000</v>
      </c>
      <c r="O70" s="56">
        <f>SUM(C70:N70)</f>
        <v/>
      </c>
    </row>
    <row r="71">
      <c r="A71" s="16" t="inlineStr">
        <is>
          <t>Honorario Contador</t>
        </is>
      </c>
      <c r="B71" s="16" t="inlineStr">
        <is>
          <t>Variable/Mensual</t>
        </is>
      </c>
      <c r="C71" s="55" t="n">
        <v>500000</v>
      </c>
      <c r="D71" s="55" t="n">
        <v>500000</v>
      </c>
      <c r="E71" s="55" t="n">
        <v>500000</v>
      </c>
      <c r="F71" s="55" t="n">
        <v>500000</v>
      </c>
      <c r="G71" s="55" t="n">
        <v>500000</v>
      </c>
      <c r="H71" s="55" t="n">
        <v>500000</v>
      </c>
      <c r="I71" s="55" t="n">
        <v>500000</v>
      </c>
      <c r="J71" s="55" t="n">
        <v>500000</v>
      </c>
      <c r="K71" s="55" t="n">
        <v>500000</v>
      </c>
      <c r="L71" s="55" t="n">
        <v>500000</v>
      </c>
      <c r="M71" s="55" t="n">
        <v>500000</v>
      </c>
      <c r="N71" s="55" t="n">
        <v>500000</v>
      </c>
      <c r="O71" s="56">
        <f>SUM(C71:N71)</f>
        <v/>
      </c>
    </row>
    <row r="72">
      <c r="A72" s="16" t="inlineStr">
        <is>
          <t>Salario Administrador</t>
        </is>
      </c>
      <c r="B72" s="16" t="inlineStr">
        <is>
          <t>Fijo/Mensual</t>
        </is>
      </c>
      <c r="C72" s="55" t="n">
        <v>5000000</v>
      </c>
      <c r="D72" s="55" t="n">
        <v>5000000</v>
      </c>
      <c r="E72" s="55" t="n">
        <v>5000000</v>
      </c>
      <c r="F72" s="55" t="n">
        <v>5000000</v>
      </c>
      <c r="G72" s="55" t="n">
        <v>5000000</v>
      </c>
      <c r="H72" s="55" t="n">
        <v>5000000</v>
      </c>
      <c r="I72" s="55" t="n">
        <v>5000000</v>
      </c>
      <c r="J72" s="55" t="n">
        <v>5000000</v>
      </c>
      <c r="K72" s="55" t="n">
        <v>5000000</v>
      </c>
      <c r="L72" s="55" t="n">
        <v>5000000</v>
      </c>
      <c r="M72" s="55" t="n">
        <v>5000000</v>
      </c>
      <c r="N72" s="55" t="n">
        <v>5000000</v>
      </c>
      <c r="O72" s="56">
        <f>SUM(C72:N72)</f>
        <v/>
      </c>
    </row>
    <row r="73">
      <c r="A73" s="16" t="inlineStr">
        <is>
          <t>Honorario Mant. Sistema</t>
        </is>
      </c>
      <c r="B73" s="16" t="inlineStr">
        <is>
          <t>Fijo/Mensual</t>
        </is>
      </c>
      <c r="C73" s="55" t="n">
        <v>300000</v>
      </c>
      <c r="D73" s="55" t="n">
        <v>300000</v>
      </c>
      <c r="E73" s="55" t="n">
        <v>300000</v>
      </c>
      <c r="F73" s="55" t="n">
        <v>300000</v>
      </c>
      <c r="G73" s="55" t="n">
        <v>300000</v>
      </c>
      <c r="H73" s="55" t="n">
        <v>300000</v>
      </c>
      <c r="I73" s="55" t="n">
        <v>300000</v>
      </c>
      <c r="J73" s="55" t="n">
        <v>300000</v>
      </c>
      <c r="K73" s="55" t="n">
        <v>300000</v>
      </c>
      <c r="L73" s="55" t="n">
        <v>300000</v>
      </c>
      <c r="M73" s="55" t="n">
        <v>300000</v>
      </c>
      <c r="N73" s="55" t="n">
        <v>300000</v>
      </c>
      <c r="O73" s="56">
        <f>SUM(C73:N73)</f>
        <v/>
      </c>
    </row>
    <row r="74">
      <c r="A74" s="16" t="inlineStr">
        <is>
          <t>Reserva</t>
        </is>
      </c>
      <c r="B74" s="16" t="n"/>
      <c r="C74" s="55" t="n">
        <v>0</v>
      </c>
      <c r="D74" s="55" t="n">
        <v>0</v>
      </c>
      <c r="E74" s="55" t="n">
        <v>0</v>
      </c>
      <c r="F74" s="55" t="n">
        <v>0</v>
      </c>
      <c r="G74" s="55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6">
        <f>SUM(C74:N74)</f>
        <v/>
      </c>
    </row>
    <row r="75">
      <c r="A75" s="44" t="inlineStr">
        <is>
          <t>SUBTOTAL SUELDOS</t>
        </is>
      </c>
      <c r="B75" s="61" t="n"/>
      <c r="C75" s="62">
        <f>SUM(C69:C74)</f>
        <v/>
      </c>
      <c r="D75" s="62">
        <f>SUM(D69:D74)</f>
        <v/>
      </c>
      <c r="E75" s="62">
        <f>SUM(E69:E74)</f>
        <v/>
      </c>
      <c r="F75" s="62">
        <f>SUM(F69:F74)</f>
        <v/>
      </c>
      <c r="G75" s="62">
        <f>SUM(G69:G74)</f>
        <v/>
      </c>
      <c r="H75" s="62">
        <f>SUM(H69:H74)</f>
        <v/>
      </c>
      <c r="I75" s="62">
        <f>SUM(I69:I74)</f>
        <v/>
      </c>
      <c r="J75" s="62">
        <f>SUM(J69:J74)</f>
        <v/>
      </c>
      <c r="K75" s="62">
        <f>SUM(K69:K74)</f>
        <v/>
      </c>
      <c r="L75" s="62">
        <f>SUM(L69:L74)</f>
        <v/>
      </c>
      <c r="M75" s="62">
        <f>SUM(M69:M74)</f>
        <v/>
      </c>
      <c r="N75" s="62">
        <f>SUM(N69:N74)</f>
        <v/>
      </c>
      <c r="O75" s="63">
        <f>SUM(C75:N75)</f>
        <v/>
      </c>
    </row>
    <row r="76">
      <c r="A76" s="68" t="inlineStr">
        <is>
          <t>EGRESOS NT - TELEFONIA E INTERNET</t>
        </is>
      </c>
    </row>
    <row r="77">
      <c r="A77" s="16" t="inlineStr">
        <is>
          <t>Celular Tigo NeuroTEA</t>
        </is>
      </c>
      <c r="B77" s="16" t="inlineStr">
        <is>
          <t>Fijo/Mensual</t>
        </is>
      </c>
      <c r="C77" s="55" t="n">
        <v>100000</v>
      </c>
      <c r="D77" s="55" t="n">
        <v>100000</v>
      </c>
      <c r="E77" s="55" t="n">
        <v>100000</v>
      </c>
      <c r="F77" s="55" t="n">
        <v>100000</v>
      </c>
      <c r="G77" s="55" t="n">
        <v>100000</v>
      </c>
      <c r="H77" s="55" t="n">
        <v>100000</v>
      </c>
      <c r="I77" s="55" t="n">
        <v>100000</v>
      </c>
      <c r="J77" s="55" t="n">
        <v>100000</v>
      </c>
      <c r="K77" s="55" t="n">
        <v>100000</v>
      </c>
      <c r="L77" s="55" t="n">
        <v>100000</v>
      </c>
      <c r="M77" s="55" t="n">
        <v>100000</v>
      </c>
      <c r="N77" s="55" t="n">
        <v>100000</v>
      </c>
      <c r="O77" s="56">
        <f>SUM(C77:N77)</f>
        <v/>
      </c>
    </row>
    <row r="78">
      <c r="A78" s="16" t="inlineStr">
        <is>
          <t>Celular Tigo Sistema</t>
        </is>
      </c>
      <c r="B78" s="16" t="inlineStr">
        <is>
          <t>Fijo/Mensual</t>
        </is>
      </c>
      <c r="C78" s="55" t="n">
        <v>100000</v>
      </c>
      <c r="D78" s="55" t="n">
        <v>100000</v>
      </c>
      <c r="E78" s="55" t="n">
        <v>100000</v>
      </c>
      <c r="F78" s="55" t="n">
        <v>100000</v>
      </c>
      <c r="G78" s="55" t="n">
        <v>100000</v>
      </c>
      <c r="H78" s="55" t="n">
        <v>100000</v>
      </c>
      <c r="I78" s="55" t="n">
        <v>100000</v>
      </c>
      <c r="J78" s="55" t="n">
        <v>100000</v>
      </c>
      <c r="K78" s="55" t="n">
        <v>100000</v>
      </c>
      <c r="L78" s="55" t="n">
        <v>100000</v>
      </c>
      <c r="M78" s="55" t="n">
        <v>100000</v>
      </c>
      <c r="N78" s="55" t="n">
        <v>100000</v>
      </c>
      <c r="O78" s="56">
        <f>SUM(C78:N78)</f>
        <v/>
      </c>
    </row>
    <row r="79">
      <c r="A79" s="16" t="inlineStr">
        <is>
          <t>WhatsFlow</t>
        </is>
      </c>
      <c r="B79" s="16" t="inlineStr">
        <is>
          <t>Fijo/Mensual</t>
        </is>
      </c>
      <c r="C79" s="55" t="n">
        <v>150000</v>
      </c>
      <c r="D79" s="55" t="n">
        <v>150000</v>
      </c>
      <c r="E79" s="55" t="n">
        <v>150000</v>
      </c>
      <c r="F79" s="55" t="n">
        <v>150000</v>
      </c>
      <c r="G79" s="55" t="n">
        <v>150000</v>
      </c>
      <c r="H79" s="55" t="n">
        <v>150000</v>
      </c>
      <c r="I79" s="55" t="n">
        <v>150000</v>
      </c>
      <c r="J79" s="55" t="n">
        <v>150000</v>
      </c>
      <c r="K79" s="55" t="n">
        <v>150000</v>
      </c>
      <c r="L79" s="55" t="n">
        <v>150000</v>
      </c>
      <c r="M79" s="55" t="n">
        <v>150000</v>
      </c>
      <c r="N79" s="55" t="n">
        <v>150000</v>
      </c>
      <c r="O79" s="56">
        <f>SUM(C79:N79)</f>
        <v/>
      </c>
    </row>
    <row r="80">
      <c r="A80" s="16" t="inlineStr">
        <is>
          <t>Internet NeuroTEA</t>
        </is>
      </c>
      <c r="B80" s="16" t="inlineStr">
        <is>
          <t>Fijo/Mensual</t>
        </is>
      </c>
      <c r="C80" s="55" t="n">
        <v>200000</v>
      </c>
      <c r="D80" s="55" t="n">
        <v>200000</v>
      </c>
      <c r="E80" s="55" t="n">
        <v>200000</v>
      </c>
      <c r="F80" s="55" t="n">
        <v>200000</v>
      </c>
      <c r="G80" s="55" t="n">
        <v>200000</v>
      </c>
      <c r="H80" s="55" t="n">
        <v>200000</v>
      </c>
      <c r="I80" s="55" t="n">
        <v>200000</v>
      </c>
      <c r="J80" s="55" t="n">
        <v>200000</v>
      </c>
      <c r="K80" s="55" t="n">
        <v>200000</v>
      </c>
      <c r="L80" s="55" t="n">
        <v>200000</v>
      </c>
      <c r="M80" s="55" t="n">
        <v>200000</v>
      </c>
      <c r="N80" s="55" t="n">
        <v>200000</v>
      </c>
      <c r="O80" s="56">
        <f>SUM(C80:N80)</f>
        <v/>
      </c>
    </row>
    <row r="81">
      <c r="A81" s="16" t="inlineStr">
        <is>
          <t>Reserva</t>
        </is>
      </c>
      <c r="B81" s="16" t="n"/>
      <c r="C81" s="55" t="n">
        <v>0</v>
      </c>
      <c r="D81" s="55" t="n">
        <v>0</v>
      </c>
      <c r="E81" s="55" t="n">
        <v>0</v>
      </c>
      <c r="F81" s="55" t="n">
        <v>0</v>
      </c>
      <c r="G81" s="55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6">
        <f>SUM(C81:N81)</f>
        <v/>
      </c>
    </row>
    <row r="82">
      <c r="A82" s="44" t="inlineStr">
        <is>
          <t>SUBTOTAL TELEFONIA</t>
        </is>
      </c>
      <c r="B82" s="61" t="n"/>
      <c r="C82" s="62">
        <f>SUM(C77:C81)</f>
        <v/>
      </c>
      <c r="D82" s="62">
        <f>SUM(D77:D81)</f>
        <v/>
      </c>
      <c r="E82" s="62">
        <f>SUM(E77:E81)</f>
        <v/>
      </c>
      <c r="F82" s="62">
        <f>SUM(F77:F81)</f>
        <v/>
      </c>
      <c r="G82" s="62">
        <f>SUM(G77:G81)</f>
        <v/>
      </c>
      <c r="H82" s="62">
        <f>SUM(H77:H81)</f>
        <v/>
      </c>
      <c r="I82" s="62">
        <f>SUM(I77:I81)</f>
        <v/>
      </c>
      <c r="J82" s="62">
        <f>SUM(J77:J81)</f>
        <v/>
      </c>
      <c r="K82" s="62">
        <f>SUM(K77:K81)</f>
        <v/>
      </c>
      <c r="L82" s="62">
        <f>SUM(L77:L81)</f>
        <v/>
      </c>
      <c r="M82" s="62">
        <f>SUM(M77:M81)</f>
        <v/>
      </c>
      <c r="N82" s="62">
        <f>SUM(N77:N81)</f>
        <v/>
      </c>
      <c r="O82" s="63">
        <f>SUM(C82:N82)</f>
        <v/>
      </c>
    </row>
    <row r="83">
      <c r="A83" s="68" t="inlineStr">
        <is>
          <t>EGRESOS NT - OBLIGACIONES LEGALES</t>
        </is>
      </c>
    </row>
    <row r="84">
      <c r="A84" s="16" t="inlineStr">
        <is>
          <t>IVA</t>
        </is>
      </c>
      <c r="B84" s="16" t="inlineStr">
        <is>
          <t>Variable/Mensual</t>
        </is>
      </c>
      <c r="C84" s="55" t="n">
        <v>1500000</v>
      </c>
      <c r="D84" s="55" t="n">
        <v>1500000</v>
      </c>
      <c r="E84" s="55" t="n">
        <v>1500000</v>
      </c>
      <c r="F84" s="55" t="n">
        <v>1500000</v>
      </c>
      <c r="G84" s="55" t="n">
        <v>1500000</v>
      </c>
      <c r="H84" s="55" t="n">
        <v>1500000</v>
      </c>
      <c r="I84" s="55" t="n">
        <v>1500000</v>
      </c>
      <c r="J84" s="55" t="n">
        <v>1500000</v>
      </c>
      <c r="K84" s="55" t="n">
        <v>1500000</v>
      </c>
      <c r="L84" s="55" t="n">
        <v>1500000</v>
      </c>
      <c r="M84" s="55" t="n">
        <v>1500000</v>
      </c>
      <c r="N84" s="55" t="n">
        <v>1500000</v>
      </c>
      <c r="O84" s="56">
        <f>SUM(C84:N84)</f>
        <v/>
      </c>
    </row>
    <row r="85">
      <c r="A85" s="16" t="inlineStr">
        <is>
          <t>IPS</t>
        </is>
      </c>
      <c r="B85" s="16" t="inlineStr">
        <is>
          <t>Fijo/Mensual</t>
        </is>
      </c>
      <c r="C85" s="55" t="n">
        <v>800000</v>
      </c>
      <c r="D85" s="55" t="n">
        <v>800000</v>
      </c>
      <c r="E85" s="55" t="n">
        <v>800000</v>
      </c>
      <c r="F85" s="55" t="n">
        <v>800000</v>
      </c>
      <c r="G85" s="55" t="n">
        <v>800000</v>
      </c>
      <c r="H85" s="55" t="n">
        <v>800000</v>
      </c>
      <c r="I85" s="55" t="n">
        <v>800000</v>
      </c>
      <c r="J85" s="55" t="n">
        <v>800000</v>
      </c>
      <c r="K85" s="55" t="n">
        <v>800000</v>
      </c>
      <c r="L85" s="55" t="n">
        <v>800000</v>
      </c>
      <c r="M85" s="55" t="n">
        <v>800000</v>
      </c>
      <c r="N85" s="55" t="n">
        <v>800000</v>
      </c>
      <c r="O85" s="56">
        <f>SUM(C85:N85)</f>
        <v/>
      </c>
    </row>
    <row r="86">
      <c r="A86" s="16" t="inlineStr">
        <is>
          <t>Reserva</t>
        </is>
      </c>
      <c r="B86" s="16" t="n"/>
      <c r="C86" s="55" t="n">
        <v>0</v>
      </c>
      <c r="D86" s="55" t="n">
        <v>0</v>
      </c>
      <c r="E86" s="55" t="n">
        <v>0</v>
      </c>
      <c r="F86" s="55" t="n">
        <v>0</v>
      </c>
      <c r="G86" s="55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6">
        <f>SUM(C86:N86)</f>
        <v/>
      </c>
    </row>
    <row r="87">
      <c r="A87" s="44" t="inlineStr">
        <is>
          <t>SUBTOTAL OBLIGACIONES</t>
        </is>
      </c>
      <c r="B87" s="61" t="n"/>
      <c r="C87" s="62">
        <f>SUM(C84:C86)</f>
        <v/>
      </c>
      <c r="D87" s="62">
        <f>SUM(D84:D86)</f>
        <v/>
      </c>
      <c r="E87" s="62">
        <f>SUM(E84:E86)</f>
        <v/>
      </c>
      <c r="F87" s="62">
        <f>SUM(F84:F86)</f>
        <v/>
      </c>
      <c r="G87" s="62">
        <f>SUM(G84:G86)</f>
        <v/>
      </c>
      <c r="H87" s="62">
        <f>SUM(H84:H86)</f>
        <v/>
      </c>
      <c r="I87" s="62">
        <f>SUM(I84:I86)</f>
        <v/>
      </c>
      <c r="J87" s="62">
        <f>SUM(J84:J86)</f>
        <v/>
      </c>
      <c r="K87" s="62">
        <f>SUM(K84:K86)</f>
        <v/>
      </c>
      <c r="L87" s="62">
        <f>SUM(L84:L86)</f>
        <v/>
      </c>
      <c r="M87" s="62">
        <f>SUM(M84:M86)</f>
        <v/>
      </c>
      <c r="N87" s="62">
        <f>SUM(N84:N86)</f>
        <v/>
      </c>
      <c r="O87" s="63">
        <f>SUM(C87:N87)</f>
        <v/>
      </c>
    </row>
    <row r="88">
      <c r="A88" s="68" t="inlineStr">
        <is>
          <t>EGRESOS NT - VARIABLES</t>
        </is>
      </c>
    </row>
    <row r="89">
      <c r="A89" s="16" t="inlineStr">
        <is>
          <t>Insumos y Papeleria</t>
        </is>
      </c>
      <c r="B89" s="16" t="inlineStr">
        <is>
          <t>Variable</t>
        </is>
      </c>
      <c r="C89" s="55" t="n">
        <v>150000</v>
      </c>
      <c r="D89" s="55" t="n">
        <v>150000</v>
      </c>
      <c r="E89" s="55" t="n">
        <v>150000</v>
      </c>
      <c r="F89" s="55" t="n">
        <v>150000</v>
      </c>
      <c r="G89" s="55" t="n">
        <v>150000</v>
      </c>
      <c r="H89" s="55" t="n">
        <v>150000</v>
      </c>
      <c r="I89" s="55" t="n">
        <v>150000</v>
      </c>
      <c r="J89" s="55" t="n">
        <v>150000</v>
      </c>
      <c r="K89" s="55" t="n">
        <v>150000</v>
      </c>
      <c r="L89" s="55" t="n">
        <v>150000</v>
      </c>
      <c r="M89" s="55" t="n">
        <v>150000</v>
      </c>
      <c r="N89" s="55" t="n">
        <v>150000</v>
      </c>
      <c r="O89" s="56">
        <f>SUM(C89:N89)</f>
        <v/>
      </c>
    </row>
    <row r="90">
      <c r="A90" s="16" t="inlineStr">
        <is>
          <t>Gastos Cursos</t>
        </is>
      </c>
      <c r="B90" s="16" t="inlineStr">
        <is>
          <t>Variable</t>
        </is>
      </c>
      <c r="C90" s="55" t="n">
        <v>200000</v>
      </c>
      <c r="D90" s="55" t="n">
        <v>200000</v>
      </c>
      <c r="E90" s="55" t="n">
        <v>200000</v>
      </c>
      <c r="F90" s="55" t="n">
        <v>200000</v>
      </c>
      <c r="G90" s="55" t="n">
        <v>200000</v>
      </c>
      <c r="H90" s="55" t="n">
        <v>200000</v>
      </c>
      <c r="I90" s="55" t="n">
        <v>200000</v>
      </c>
      <c r="J90" s="55" t="n">
        <v>200000</v>
      </c>
      <c r="K90" s="55" t="n">
        <v>200000</v>
      </c>
      <c r="L90" s="55" t="n">
        <v>200000</v>
      </c>
      <c r="M90" s="55" t="n">
        <v>200000</v>
      </c>
      <c r="N90" s="55" t="n">
        <v>200000</v>
      </c>
      <c r="O90" s="56">
        <f>SUM(C90:N90)</f>
        <v/>
      </c>
    </row>
    <row r="91">
      <c r="A91" s="16" t="inlineStr">
        <is>
          <t>Mantenimiento</t>
        </is>
      </c>
      <c r="B91" s="16" t="inlineStr">
        <is>
          <t>Variable</t>
        </is>
      </c>
      <c r="C91" s="55" t="n">
        <v>100000</v>
      </c>
      <c r="D91" s="55" t="n">
        <v>100000</v>
      </c>
      <c r="E91" s="55" t="n">
        <v>100000</v>
      </c>
      <c r="F91" s="55" t="n">
        <v>100000</v>
      </c>
      <c r="G91" s="55" t="n">
        <v>100000</v>
      </c>
      <c r="H91" s="55" t="n">
        <v>100000</v>
      </c>
      <c r="I91" s="55" t="n">
        <v>100000</v>
      </c>
      <c r="J91" s="55" t="n">
        <v>100000</v>
      </c>
      <c r="K91" s="55" t="n">
        <v>100000</v>
      </c>
      <c r="L91" s="55" t="n">
        <v>100000</v>
      </c>
      <c r="M91" s="55" t="n">
        <v>100000</v>
      </c>
      <c r="N91" s="55" t="n">
        <v>100000</v>
      </c>
      <c r="O91" s="56">
        <f>SUM(C91:N91)</f>
        <v/>
      </c>
    </row>
    <row r="92">
      <c r="A92" s="16" t="inlineStr">
        <is>
          <t>Reserva</t>
        </is>
      </c>
      <c r="B92" s="16" t="n"/>
      <c r="C92" s="55" t="n">
        <v>0</v>
      </c>
      <c r="D92" s="55" t="n">
        <v>0</v>
      </c>
      <c r="E92" s="55" t="n">
        <v>0</v>
      </c>
      <c r="F92" s="55" t="n">
        <v>0</v>
      </c>
      <c r="G92" s="55" t="n">
        <v>0</v>
      </c>
      <c r="H92" s="55" t="n">
        <v>0</v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6">
        <f>SUM(C92:N92)</f>
        <v/>
      </c>
    </row>
    <row r="93">
      <c r="A93" s="44" t="inlineStr">
        <is>
          <t>SUBTOTAL VARIABLES NT</t>
        </is>
      </c>
      <c r="B93" s="61" t="n"/>
      <c r="C93" s="62">
        <f>SUM(C89:C92)</f>
        <v/>
      </c>
      <c r="D93" s="62">
        <f>SUM(D89:D92)</f>
        <v/>
      </c>
      <c r="E93" s="62">
        <f>SUM(E89:E92)</f>
        <v/>
      </c>
      <c r="F93" s="62">
        <f>SUM(F89:F92)</f>
        <v/>
      </c>
      <c r="G93" s="62">
        <f>SUM(G89:G92)</f>
        <v/>
      </c>
      <c r="H93" s="62">
        <f>SUM(H89:H92)</f>
        <v/>
      </c>
      <c r="I93" s="62">
        <f>SUM(I89:I92)</f>
        <v/>
      </c>
      <c r="J93" s="62">
        <f>SUM(J89:J92)</f>
        <v/>
      </c>
      <c r="K93" s="62">
        <f>SUM(K89:K92)</f>
        <v/>
      </c>
      <c r="L93" s="62">
        <f>SUM(L89:L92)</f>
        <v/>
      </c>
      <c r="M93" s="62">
        <f>SUM(M89:M92)</f>
        <v/>
      </c>
      <c r="N93" s="62">
        <f>SUM(N89:N92)</f>
        <v/>
      </c>
      <c r="O93" s="63">
        <f>SUM(C93:N93)</f>
        <v/>
      </c>
    </row>
    <row r="94">
      <c r="A94" s="64" t="inlineStr">
        <is>
          <t>TOTAL EGRESOS NEUROTEA</t>
        </is>
      </c>
      <c r="B94" s="65" t="n"/>
      <c r="C94" s="66">
        <f>C67+C75+C82+C87+C93</f>
        <v/>
      </c>
      <c r="D94" s="66">
        <f>D67+D75+D82+D87+D93</f>
        <v/>
      </c>
      <c r="E94" s="66">
        <f>E67+E75+E82+E87+E93</f>
        <v/>
      </c>
      <c r="F94" s="66">
        <f>F67+F75+F82+F87+F93</f>
        <v/>
      </c>
      <c r="G94" s="66">
        <f>G67+G75+G82+G87+G93</f>
        <v/>
      </c>
      <c r="H94" s="66">
        <f>H67+H75+H82+H87+H93</f>
        <v/>
      </c>
      <c r="I94" s="66">
        <f>I67+I75+I82+I87+I93</f>
        <v/>
      </c>
      <c r="J94" s="66">
        <f>J67+J75+J82+J87+J93</f>
        <v/>
      </c>
      <c r="K94" s="66">
        <f>K67+K75+K82+K87+K93</f>
        <v/>
      </c>
      <c r="L94" s="66">
        <f>L67+L75+L82+L87+L93</f>
        <v/>
      </c>
      <c r="M94" s="66">
        <f>M67+M75+M82+M87+M93</f>
        <v/>
      </c>
      <c r="N94" s="66">
        <f>N67+N75+N82+N87+N93</f>
        <v/>
      </c>
      <c r="O94" s="66">
        <f>SUM(C94:N94)</f>
        <v/>
      </c>
    </row>
    <row r="95">
      <c r="A95" s="69" t="inlineStr">
        <is>
          <t>GANANCIA NEUROTEA (Meta 7%)</t>
        </is>
      </c>
    </row>
    <row r="96">
      <c r="A96" s="70" t="inlineStr">
        <is>
          <t>Ganancia Bruta (Ing - Egr)</t>
        </is>
      </c>
      <c r="B96" s="71" t="inlineStr">
        <is>
          <t>Calculado</t>
        </is>
      </c>
      <c r="C96" s="72">
        <f>C61-C94</f>
        <v/>
      </c>
      <c r="D96" s="72">
        <f>D61-D94</f>
        <v/>
      </c>
      <c r="E96" s="72">
        <f>E61-E94</f>
        <v/>
      </c>
      <c r="F96" s="72">
        <f>F61-F94</f>
        <v/>
      </c>
      <c r="G96" s="72">
        <f>G61-G94</f>
        <v/>
      </c>
      <c r="H96" s="72">
        <f>H61-H94</f>
        <v/>
      </c>
      <c r="I96" s="72">
        <f>I61-I94</f>
        <v/>
      </c>
      <c r="J96" s="72">
        <f>J61-J94</f>
        <v/>
      </c>
      <c r="K96" s="72">
        <f>K61-K94</f>
        <v/>
      </c>
      <c r="L96" s="72">
        <f>L61-L94</f>
        <v/>
      </c>
      <c r="M96" s="72">
        <f>M61-M94</f>
        <v/>
      </c>
      <c r="N96" s="72">
        <f>N61-N94</f>
        <v/>
      </c>
      <c r="O96" s="72">
        <f>SUM(C96:N96)</f>
        <v/>
      </c>
    </row>
    <row r="97">
      <c r="A97" s="70" t="inlineStr">
        <is>
          <t>Meta 7%</t>
        </is>
      </c>
      <c r="B97" s="71" t="inlineStr">
        <is>
          <t>Calculado</t>
        </is>
      </c>
      <c r="C97" s="73">
        <f>C61*0.07</f>
        <v/>
      </c>
      <c r="D97" s="73">
        <f>D61*0.07</f>
        <v/>
      </c>
      <c r="E97" s="73">
        <f>E61*0.07</f>
        <v/>
      </c>
      <c r="F97" s="73">
        <f>F61*0.07</f>
        <v/>
      </c>
      <c r="G97" s="73">
        <f>G61*0.07</f>
        <v/>
      </c>
      <c r="H97" s="73">
        <f>H61*0.07</f>
        <v/>
      </c>
      <c r="I97" s="73">
        <f>I61*0.07</f>
        <v/>
      </c>
      <c r="J97" s="73">
        <f>J61*0.07</f>
        <v/>
      </c>
      <c r="K97" s="73">
        <f>K61*0.07</f>
        <v/>
      </c>
      <c r="L97" s="73">
        <f>L61*0.07</f>
        <v/>
      </c>
      <c r="M97" s="73">
        <f>M61*0.07</f>
        <v/>
      </c>
      <c r="N97" s="73">
        <f>N61*0.07</f>
        <v/>
      </c>
      <c r="O97" s="72">
        <f>SUM(C97:N97)</f>
        <v/>
      </c>
    </row>
    <row r="98">
      <c r="A98" s="70" t="inlineStr">
        <is>
          <t>Utilidad Propietario (1/3)</t>
        </is>
      </c>
      <c r="B98" s="71" t="inlineStr">
        <is>
          <t>Calculado</t>
        </is>
      </c>
      <c r="C98" s="73">
        <f>C97/3</f>
        <v/>
      </c>
      <c r="D98" s="73">
        <f>D97/3</f>
        <v/>
      </c>
      <c r="E98" s="73">
        <f>E97/3</f>
        <v/>
      </c>
      <c r="F98" s="73">
        <f>F97/3</f>
        <v/>
      </c>
      <c r="G98" s="73">
        <f>G97/3</f>
        <v/>
      </c>
      <c r="H98" s="73">
        <f>H97/3</f>
        <v/>
      </c>
      <c r="I98" s="73">
        <f>I97/3</f>
        <v/>
      </c>
      <c r="J98" s="73">
        <f>J97/3</f>
        <v/>
      </c>
      <c r="K98" s="73">
        <f>K97/3</f>
        <v/>
      </c>
      <c r="L98" s="73">
        <f>L97/3</f>
        <v/>
      </c>
      <c r="M98" s="73">
        <f>M97/3</f>
        <v/>
      </c>
      <c r="N98" s="73">
        <f>N97/3</f>
        <v/>
      </c>
      <c r="O98" s="72">
        <f>SUM(C98:N98)</f>
        <v/>
      </c>
    </row>
    <row r="99">
      <c r="A99" s="70" t="inlineStr">
        <is>
          <t>Fondo Emergencia (1/3)</t>
        </is>
      </c>
      <c r="B99" s="71" t="inlineStr">
        <is>
          <t>Calculado</t>
        </is>
      </c>
      <c r="C99" s="73">
        <f>C97/3</f>
        <v/>
      </c>
      <c r="D99" s="73">
        <f>D97/3</f>
        <v/>
      </c>
      <c r="E99" s="73">
        <f>E97/3</f>
        <v/>
      </c>
      <c r="F99" s="73">
        <f>F97/3</f>
        <v/>
      </c>
      <c r="G99" s="73">
        <f>G97/3</f>
        <v/>
      </c>
      <c r="H99" s="73">
        <f>H97/3</f>
        <v/>
      </c>
      <c r="I99" s="73">
        <f>I97/3</f>
        <v/>
      </c>
      <c r="J99" s="73">
        <f>J97/3</f>
        <v/>
      </c>
      <c r="K99" s="73">
        <f>K97/3</f>
        <v/>
      </c>
      <c r="L99" s="73">
        <f>L97/3</f>
        <v/>
      </c>
      <c r="M99" s="73">
        <f>M97/3</f>
        <v/>
      </c>
      <c r="N99" s="73">
        <f>N97/3</f>
        <v/>
      </c>
      <c r="O99" s="72">
        <f>SUM(C99:N99)</f>
        <v/>
      </c>
    </row>
    <row r="100">
      <c r="A100" s="70" t="inlineStr">
        <is>
          <t>Fondo Inversion (1/3)</t>
        </is>
      </c>
      <c r="B100" s="71" t="inlineStr">
        <is>
          <t>Calculado</t>
        </is>
      </c>
      <c r="C100" s="73">
        <f>C97/3</f>
        <v/>
      </c>
      <c r="D100" s="73">
        <f>D97/3</f>
        <v/>
      </c>
      <c r="E100" s="73">
        <f>E97/3</f>
        <v/>
      </c>
      <c r="F100" s="73">
        <f>F97/3</f>
        <v/>
      </c>
      <c r="G100" s="73">
        <f>G97/3</f>
        <v/>
      </c>
      <c r="H100" s="73">
        <f>H97/3</f>
        <v/>
      </c>
      <c r="I100" s="73">
        <f>I97/3</f>
        <v/>
      </c>
      <c r="J100" s="73">
        <f>J97/3</f>
        <v/>
      </c>
      <c r="K100" s="73">
        <f>K97/3</f>
        <v/>
      </c>
      <c r="L100" s="73">
        <f>L97/3</f>
        <v/>
      </c>
      <c r="M100" s="73">
        <f>M97/3</f>
        <v/>
      </c>
      <c r="N100" s="73">
        <f>N97/3</f>
        <v/>
      </c>
      <c r="O100" s="72">
        <f>SUM(C100:N100)</f>
        <v/>
      </c>
    </row>
    <row r="101">
      <c r="A101" s="33" t="inlineStr">
        <is>
          <t>BALANCE NEUROTEA</t>
        </is>
      </c>
      <c r="B101" s="35" t="n"/>
      <c r="C101" s="67">
        <f>C96</f>
        <v/>
      </c>
      <c r="D101" s="67">
        <f>D96</f>
        <v/>
      </c>
      <c r="E101" s="67">
        <f>E96</f>
        <v/>
      </c>
      <c r="F101" s="67">
        <f>F96</f>
        <v/>
      </c>
      <c r="G101" s="67">
        <f>G96</f>
        <v/>
      </c>
      <c r="H101" s="67">
        <f>H96</f>
        <v/>
      </c>
      <c r="I101" s="67">
        <f>I96</f>
        <v/>
      </c>
      <c r="J101" s="67">
        <f>J96</f>
        <v/>
      </c>
      <c r="K101" s="67">
        <f>K96</f>
        <v/>
      </c>
      <c r="L101" s="67">
        <f>L96</f>
        <v/>
      </c>
      <c r="M101" s="67">
        <f>M96</f>
        <v/>
      </c>
      <c r="N101" s="67">
        <f>N96</f>
        <v/>
      </c>
      <c r="O101" s="67">
        <f>SUM(C101:N101)</f>
        <v/>
      </c>
    </row>
  </sheetData>
  <mergeCells count="15">
    <mergeCell ref="A83:O83"/>
    <mergeCell ref="A43:O43"/>
    <mergeCell ref="A38:O38"/>
    <mergeCell ref="A16:O16"/>
    <mergeCell ref="A54:O54"/>
    <mergeCell ref="A95:O95"/>
    <mergeCell ref="A76:O76"/>
    <mergeCell ref="A68:O68"/>
    <mergeCell ref="A1:O1"/>
    <mergeCell ref="A27:O27"/>
    <mergeCell ref="A6:O6"/>
    <mergeCell ref="A88:O88"/>
    <mergeCell ref="A56:O56"/>
    <mergeCell ref="A4:O4"/>
    <mergeCell ref="A62:O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6" customWidth="1" min="4" max="4"/>
    <col width="5" customWidth="1" min="5" max="5"/>
    <col width="11" customWidth="1" min="6" max="6"/>
    <col width="9" customWidth="1" min="7" max="7"/>
  </cols>
  <sheetData>
    <row r="1">
      <c r="A1" s="74" t="inlineStr">
        <is>
          <t>GASTOS FIJOS - LISTA MAESTRA</t>
        </is>
      </c>
    </row>
    <row r="2">
      <c r="A2" s="75" t="inlineStr">
        <is>
          <t>DIA = dia del mes que vence. Si un mes esta vacio, usa el MONTO BASE.</t>
        </is>
      </c>
    </row>
    <row r="3"/>
    <row r="4">
      <c r="A4" s="76" t="inlineStr">
        <is>
          <t>CONCEPTO</t>
        </is>
      </c>
      <c r="B4" s="76" t="inlineStr">
        <is>
          <t>ENTIDAD</t>
        </is>
      </c>
      <c r="C4" s="76" t="inlineStr">
        <is>
          <t>CATEGORIA</t>
        </is>
      </c>
      <c r="D4" s="76" t="inlineStr">
        <is>
          <t>FRECUENCIA</t>
        </is>
      </c>
      <c r="E4" s="76" t="inlineStr">
        <is>
          <t>DIA</t>
        </is>
      </c>
      <c r="F4" s="76" t="inlineStr">
        <is>
          <t>BASE</t>
        </is>
      </c>
      <c r="G4" s="77" t="inlineStr">
        <is>
          <t>ENE</t>
        </is>
      </c>
      <c r="H4" s="77" t="inlineStr">
        <is>
          <t>FEB</t>
        </is>
      </c>
      <c r="I4" s="77" t="inlineStr">
        <is>
          <t>MAR</t>
        </is>
      </c>
      <c r="J4" s="77" t="inlineStr">
        <is>
          <t>ABR</t>
        </is>
      </c>
      <c r="K4" s="77" t="inlineStr">
        <is>
          <t>MAY</t>
        </is>
      </c>
      <c r="L4" s="77" t="inlineStr">
        <is>
          <t>JUN</t>
        </is>
      </c>
      <c r="M4" s="77" t="inlineStr">
        <is>
          <t>JUL</t>
        </is>
      </c>
      <c r="N4" s="77" t="inlineStr">
        <is>
          <t>AGO</t>
        </is>
      </c>
      <c r="O4" s="77" t="inlineStr">
        <is>
          <t>SEP</t>
        </is>
      </c>
      <c r="P4" s="77" t="inlineStr">
        <is>
          <t>OCT</t>
        </is>
      </c>
      <c r="Q4" s="77" t="inlineStr">
        <is>
          <t>NOV</t>
        </is>
      </c>
      <c r="R4" s="77" t="inlineStr">
        <is>
          <t>DIC</t>
        </is>
      </c>
    </row>
    <row r="5">
      <c r="A5" s="78" t="inlineStr">
        <is>
          <t>GASTOS FIJOS FAMILIA</t>
        </is>
      </c>
    </row>
    <row r="6">
      <c r="A6" s="16" t="inlineStr">
        <is>
          <t>Salario Lili Domestico</t>
        </is>
      </c>
      <c r="B6" s="16" t="inlineStr">
        <is>
          <t>Familia</t>
        </is>
      </c>
      <c r="C6" s="16" t="inlineStr">
        <is>
          <t>Gastos Fijos</t>
        </is>
      </c>
      <c r="D6" s="16" t="inlineStr">
        <is>
          <t>Fijo/Mensual</t>
        </is>
      </c>
      <c r="E6" s="16" t="n">
        <v>30</v>
      </c>
      <c r="F6" s="17" t="n">
        <v>1800000</v>
      </c>
    </row>
    <row r="7">
      <c r="A7" s="16" t="inlineStr">
        <is>
          <t>Salario Laura Domestico</t>
        </is>
      </c>
      <c r="B7" s="16" t="inlineStr">
        <is>
          <t>Familia</t>
        </is>
      </c>
      <c r="C7" s="16" t="inlineStr">
        <is>
          <t>Gastos Fijos</t>
        </is>
      </c>
      <c r="D7" s="16" t="inlineStr">
        <is>
          <t>Fijo/Mensual</t>
        </is>
      </c>
      <c r="E7" s="16" t="n">
        <v>30</v>
      </c>
      <c r="F7" s="17" t="n">
        <v>1200000</v>
      </c>
    </row>
    <row r="8">
      <c r="A8" s="16" t="inlineStr">
        <is>
          <t>Escuela Fabian y Brenda</t>
        </is>
      </c>
      <c r="B8" s="16" t="inlineStr">
        <is>
          <t>Familia</t>
        </is>
      </c>
      <c r="C8" s="16" t="inlineStr">
        <is>
          <t>Gastos Fijos</t>
        </is>
      </c>
      <c r="D8" s="16" t="inlineStr">
        <is>
          <t>Fijo/Mensual</t>
        </is>
      </c>
      <c r="E8" s="16" t="n">
        <v>10</v>
      </c>
      <c r="F8" s="17" t="n">
        <v>1600000</v>
      </c>
    </row>
    <row r="9">
      <c r="A9" s="16" t="inlineStr">
        <is>
          <t>Robotica Ninos</t>
        </is>
      </c>
      <c r="B9" s="16" t="inlineStr">
        <is>
          <t>Familia</t>
        </is>
      </c>
      <c r="C9" s="16" t="inlineStr">
        <is>
          <t>Gastos Fijos</t>
        </is>
      </c>
      <c r="D9" s="16" t="inlineStr">
        <is>
          <t>Fijo/Mensual</t>
        </is>
      </c>
      <c r="E9" s="16" t="n">
        <v>11</v>
      </c>
      <c r="F9" s="17" t="n">
        <v>400000</v>
      </c>
    </row>
    <row r="10">
      <c r="A10" s="16" t="inlineStr">
        <is>
          <t>ANDE Casa</t>
        </is>
      </c>
      <c r="B10" s="16" t="inlineStr">
        <is>
          <t>Familia</t>
        </is>
      </c>
      <c r="C10" s="16" t="inlineStr">
        <is>
          <t>Gastos Fijos</t>
        </is>
      </c>
      <c r="D10" s="16" t="inlineStr">
        <is>
          <t>Variable/Mensual</t>
        </is>
      </c>
      <c r="E10" s="16" t="n">
        <v>15</v>
      </c>
      <c r="F10" s="17" t="n">
        <v>400000</v>
      </c>
    </row>
    <row r="11">
      <c r="A11" s="16" t="inlineStr">
        <is>
          <t>Expensa Casa</t>
        </is>
      </c>
      <c r="B11" s="16" t="inlineStr">
        <is>
          <t>Familia</t>
        </is>
      </c>
      <c r="C11" s="16" t="inlineStr">
        <is>
          <t>Gastos Fijos</t>
        </is>
      </c>
      <c r="D11" s="16" t="inlineStr">
        <is>
          <t>Variable/Mensual</t>
        </is>
      </c>
      <c r="E11" s="16" t="n">
        <v>10</v>
      </c>
      <c r="F11" s="17" t="n">
        <v>300000</v>
      </c>
    </row>
    <row r="12">
      <c r="A12" s="16" t="inlineStr">
        <is>
          <t>Na Luisa</t>
        </is>
      </c>
      <c r="B12" s="16" t="inlineStr">
        <is>
          <t>Familia</t>
        </is>
      </c>
      <c r="C12" s="16" t="inlineStr">
        <is>
          <t>Gastos Fijos</t>
        </is>
      </c>
      <c r="D12" s="16" t="inlineStr">
        <is>
          <t>Fijo/Mensual</t>
        </is>
      </c>
      <c r="E12" s="16" t="n">
        <v>5</v>
      </c>
      <c r="F12" s="17" t="n">
        <v>1200000</v>
      </c>
    </row>
    <row r="13">
      <c r="A13" s="16" t="inlineStr">
        <is>
          <t>Contadora Marco</t>
        </is>
      </c>
      <c r="B13" s="16" t="inlineStr">
        <is>
          <t>Familia</t>
        </is>
      </c>
      <c r="C13" s="16" t="inlineStr">
        <is>
          <t>Gastos Fijos</t>
        </is>
      </c>
      <c r="D13" s="16" t="inlineStr">
        <is>
          <t>Fijo/Mensual</t>
        </is>
      </c>
      <c r="E13" s="16" t="n">
        <v>15</v>
      </c>
      <c r="F13" s="17" t="n">
        <v>350000</v>
      </c>
    </row>
    <row r="14">
      <c r="A14" s="78" t="inlineStr">
        <is>
          <t>CUOTAS Y PRESTAMOS FAMILIA</t>
        </is>
      </c>
    </row>
    <row r="15">
      <c r="A15" s="16" t="inlineStr">
        <is>
          <t>Cajubi Marco</t>
        </is>
      </c>
      <c r="B15" s="16" t="inlineStr">
        <is>
          <t>Familia</t>
        </is>
      </c>
      <c r="C15" s="16" t="inlineStr">
        <is>
          <t>Cuotas</t>
        </is>
      </c>
      <c r="D15" s="16" t="inlineStr">
        <is>
          <t>Fijo/Mensual</t>
        </is>
      </c>
      <c r="E15" s="16" t="n">
        <v>10</v>
      </c>
      <c r="F15" s="17" t="n">
        <v>200000</v>
      </c>
    </row>
    <row r="16">
      <c r="A16" s="16" t="inlineStr">
        <is>
          <t>Mutual Marco</t>
        </is>
      </c>
      <c r="B16" s="16" t="inlineStr">
        <is>
          <t>Familia</t>
        </is>
      </c>
      <c r="C16" s="16" t="inlineStr">
        <is>
          <t>Cuotas</t>
        </is>
      </c>
      <c r="D16" s="16" t="inlineStr">
        <is>
          <t>Variable/Mensual</t>
        </is>
      </c>
      <c r="E16" s="16" t="n">
        <v>10</v>
      </c>
      <c r="F16" s="17" t="n">
        <v>150000</v>
      </c>
    </row>
    <row r="17">
      <c r="A17" s="16" t="inlineStr">
        <is>
          <t>Cuota ITAU</t>
        </is>
      </c>
      <c r="B17" s="16" t="inlineStr">
        <is>
          <t>Familia</t>
        </is>
      </c>
      <c r="C17" s="16" t="inlineStr">
        <is>
          <t>Cuotas</t>
        </is>
      </c>
      <c r="D17" s="16" t="inlineStr">
        <is>
          <t>Fijo/Mensual</t>
        </is>
      </c>
      <c r="E17" s="16" t="n">
        <v>15</v>
      </c>
      <c r="F17" s="17" t="n">
        <v>391000</v>
      </c>
    </row>
    <row r="18">
      <c r="A18" s="16" t="inlineStr">
        <is>
          <t>Auto Laura Cuota</t>
        </is>
      </c>
      <c r="B18" s="16" t="inlineStr">
        <is>
          <t>Familia</t>
        </is>
      </c>
      <c r="C18" s="16" t="inlineStr">
        <is>
          <t>Cuotas</t>
        </is>
      </c>
      <c r="D18" s="16" t="inlineStr">
        <is>
          <t>Fijo/Mensual</t>
        </is>
      </c>
      <c r="E18" s="16" t="n">
        <v>20</v>
      </c>
      <c r="F18" s="17" t="n">
        <v>2000000</v>
      </c>
    </row>
    <row r="19">
      <c r="A19" s="16" t="inlineStr">
        <is>
          <t>Coop. Universitaria Clara</t>
        </is>
      </c>
      <c r="B19" s="16" t="inlineStr">
        <is>
          <t>Familia</t>
        </is>
      </c>
      <c r="C19" s="16" t="inlineStr">
        <is>
          <t>Cuotas</t>
        </is>
      </c>
      <c r="D19" s="16" t="inlineStr">
        <is>
          <t>Fijo/Mensual</t>
        </is>
      </c>
      <c r="E19" s="16" t="n">
        <v>15</v>
      </c>
      <c r="F19" s="17" t="n">
        <v>800000</v>
      </c>
    </row>
    <row r="20">
      <c r="A20" s="16" t="inlineStr">
        <is>
          <t>Coomecipar Clara</t>
        </is>
      </c>
      <c r="B20" s="16" t="inlineStr">
        <is>
          <t>Familia</t>
        </is>
      </c>
      <c r="C20" s="16" t="inlineStr">
        <is>
          <t>Cuotas</t>
        </is>
      </c>
      <c r="D20" s="16" t="inlineStr">
        <is>
          <t>Fijo/Mensual</t>
        </is>
      </c>
      <c r="E20" s="16" t="n">
        <v>15</v>
      </c>
      <c r="F20" s="17" t="n">
        <v>500000</v>
      </c>
    </row>
    <row r="21">
      <c r="A21" s="16" t="inlineStr">
        <is>
          <t>Solar Prestamo 1</t>
        </is>
      </c>
      <c r="B21" s="16" t="inlineStr">
        <is>
          <t>Familia</t>
        </is>
      </c>
      <c r="C21" s="16" t="inlineStr">
        <is>
          <t>Cuotas</t>
        </is>
      </c>
      <c r="D21" s="16" t="inlineStr">
        <is>
          <t>Fijo/Mensual</t>
        </is>
      </c>
      <c r="E21" s="16" t="n">
        <v>20</v>
      </c>
      <c r="F21" s="17" t="n">
        <v>850000</v>
      </c>
    </row>
    <row r="22">
      <c r="A22" s="16" t="inlineStr">
        <is>
          <t>Solar Prestamo 2</t>
        </is>
      </c>
      <c r="B22" s="16" t="inlineStr">
        <is>
          <t>Familia</t>
        </is>
      </c>
      <c r="C22" s="16" t="inlineStr">
        <is>
          <t>Cuotas</t>
        </is>
      </c>
      <c r="D22" s="16" t="inlineStr">
        <is>
          <t>Fijo/Mensual</t>
        </is>
      </c>
      <c r="E22" s="16" t="n">
        <v>20</v>
      </c>
      <c r="F22" s="17" t="n">
        <v>650000</v>
      </c>
    </row>
    <row r="23">
      <c r="A23" s="78" t="inlineStr">
        <is>
          <t>SUSCRIPCIONES FAMILIA</t>
        </is>
      </c>
    </row>
    <row r="24">
      <c r="A24" s="16" t="inlineStr">
        <is>
          <t>Giganet</t>
        </is>
      </c>
      <c r="B24" s="16" t="inlineStr">
        <is>
          <t>Familia</t>
        </is>
      </c>
      <c r="C24" s="16" t="inlineStr">
        <is>
          <t>Suscripciones</t>
        </is>
      </c>
      <c r="D24" s="16" t="inlineStr">
        <is>
          <t>Fijo/Mensual</t>
        </is>
      </c>
      <c r="E24" s="16" t="n">
        <v>5</v>
      </c>
      <c r="F24" s="17" t="n">
        <v>250000</v>
      </c>
    </row>
    <row r="25">
      <c r="A25" s="16" t="inlineStr">
        <is>
          <t>Tigo Familiar</t>
        </is>
      </c>
      <c r="B25" s="16" t="inlineStr">
        <is>
          <t>Familia</t>
        </is>
      </c>
      <c r="C25" s="16" t="inlineStr">
        <is>
          <t>Suscripciones</t>
        </is>
      </c>
      <c r="D25" s="16" t="inlineStr">
        <is>
          <t>Fijo/Mensual</t>
        </is>
      </c>
      <c r="E25" s="16" t="n">
        <v>10</v>
      </c>
      <c r="F25" s="17" t="n">
        <v>320000</v>
      </c>
    </row>
    <row r="26">
      <c r="A26" s="78" t="inlineStr">
        <is>
          <t>CLINICA NEUROTEA</t>
        </is>
      </c>
    </row>
    <row r="27">
      <c r="A27" s="16" t="inlineStr">
        <is>
          <t>Alquiler 1 (Principal)</t>
        </is>
      </c>
      <c r="B27" s="16" t="inlineStr">
        <is>
          <t>NeuroTEA</t>
        </is>
      </c>
      <c r="C27" s="16" t="inlineStr">
        <is>
          <t>Clinica</t>
        </is>
      </c>
      <c r="D27" s="16" t="inlineStr">
        <is>
          <t>Fijo/Mensual</t>
        </is>
      </c>
      <c r="E27" s="16" t="n">
        <v>5</v>
      </c>
      <c r="F27" s="17" t="n">
        <v>13500000</v>
      </c>
    </row>
    <row r="28">
      <c r="A28" s="16" t="inlineStr">
        <is>
          <t>Alquiler 2 (Secundario)</t>
        </is>
      </c>
      <c r="B28" s="16" t="inlineStr">
        <is>
          <t>NeuroTEA</t>
        </is>
      </c>
      <c r="C28" s="16" t="inlineStr">
        <is>
          <t>Clinica</t>
        </is>
      </c>
      <c r="D28" s="16" t="inlineStr">
        <is>
          <t>Fijo/Mensual</t>
        </is>
      </c>
      <c r="E28" s="16" t="n">
        <v>5</v>
      </c>
      <c r="F28" s="17" t="n">
        <v>4130000</v>
      </c>
    </row>
    <row r="29">
      <c r="A29" s="16" t="inlineStr">
        <is>
          <t>ANDE Clinica</t>
        </is>
      </c>
      <c r="B29" s="16" t="inlineStr">
        <is>
          <t>NeuroTEA</t>
        </is>
      </c>
      <c r="C29" s="16" t="inlineStr">
        <is>
          <t>Clinica</t>
        </is>
      </c>
      <c r="D29" s="16" t="inlineStr">
        <is>
          <t>Variable/Mensual</t>
        </is>
      </c>
      <c r="E29" s="16" t="n">
        <v>15</v>
      </c>
      <c r="F29" s="17" t="n">
        <v>350000</v>
      </c>
    </row>
    <row r="30">
      <c r="A30" s="78" t="inlineStr">
        <is>
          <t>SUELDOS Y HONORARIOS NT</t>
        </is>
      </c>
    </row>
    <row r="31">
      <c r="A31" s="16" t="inlineStr">
        <is>
          <t>Sueldo Aracely</t>
        </is>
      </c>
      <c r="B31" s="16" t="inlineStr">
        <is>
          <t>NeuroTEA</t>
        </is>
      </c>
      <c r="C31" s="16" t="inlineStr">
        <is>
          <t>Sueldos</t>
        </is>
      </c>
      <c r="D31" s="16" t="inlineStr">
        <is>
          <t>Fijo/Mensual</t>
        </is>
      </c>
      <c r="E31" s="16" t="n">
        <v>30</v>
      </c>
      <c r="F31" s="17" t="n">
        <v>2000000</v>
      </c>
    </row>
    <row r="32">
      <c r="A32" s="16" t="inlineStr">
        <is>
          <t>Sueldo Fatima</t>
        </is>
      </c>
      <c r="B32" s="16" t="inlineStr">
        <is>
          <t>NeuroTEA</t>
        </is>
      </c>
      <c r="C32" s="16" t="inlineStr">
        <is>
          <t>Sueldos</t>
        </is>
      </c>
      <c r="D32" s="16" t="inlineStr">
        <is>
          <t>Fijo/Mensual</t>
        </is>
      </c>
      <c r="E32" s="16" t="n">
        <v>30</v>
      </c>
      <c r="F32" s="17" t="n">
        <v>1800000</v>
      </c>
    </row>
    <row r="33">
      <c r="A33" s="16" t="inlineStr">
        <is>
          <t>Honorario Contador</t>
        </is>
      </c>
      <c r="B33" s="16" t="inlineStr">
        <is>
          <t>NeuroTEA</t>
        </is>
      </c>
      <c r="C33" s="16" t="inlineStr">
        <is>
          <t>Sueldos</t>
        </is>
      </c>
      <c r="D33" s="16" t="inlineStr">
        <is>
          <t>Variable/Mensual</t>
        </is>
      </c>
      <c r="E33" s="16" t="n">
        <v>5</v>
      </c>
      <c r="F33" s="17" t="n">
        <v>500000</v>
      </c>
    </row>
    <row r="34">
      <c r="A34" s="16" t="inlineStr">
        <is>
          <t>Salario Administrador</t>
        </is>
      </c>
      <c r="B34" s="16" t="inlineStr">
        <is>
          <t>NeuroTEA</t>
        </is>
      </c>
      <c r="C34" s="16" t="inlineStr">
        <is>
          <t>Sueldos</t>
        </is>
      </c>
      <c r="D34" s="16" t="inlineStr">
        <is>
          <t>Fijo/Mensual</t>
        </is>
      </c>
      <c r="E34" s="16" t="n">
        <v>30</v>
      </c>
      <c r="F34" s="17" t="n">
        <v>5000000</v>
      </c>
    </row>
    <row r="35">
      <c r="A35" s="16" t="inlineStr">
        <is>
          <t>Honorario Mant. Sistema</t>
        </is>
      </c>
      <c r="B35" s="16" t="inlineStr">
        <is>
          <t>NeuroTEA</t>
        </is>
      </c>
      <c r="C35" s="16" t="inlineStr">
        <is>
          <t>Sueldos</t>
        </is>
      </c>
      <c r="D35" s="16" t="inlineStr">
        <is>
          <t>Fijo/Mensual</t>
        </is>
      </c>
      <c r="E35" s="16" t="n">
        <v>5</v>
      </c>
      <c r="F35" s="17" t="n">
        <v>300000</v>
      </c>
    </row>
    <row r="36">
      <c r="A36" s="78" t="inlineStr">
        <is>
          <t>TELEFONIA E INTERNET NT</t>
        </is>
      </c>
    </row>
    <row r="37">
      <c r="A37" s="16" t="inlineStr">
        <is>
          <t>Celular Tigo NeuroTEA</t>
        </is>
      </c>
      <c r="B37" s="16" t="inlineStr">
        <is>
          <t>NeuroTEA</t>
        </is>
      </c>
      <c r="C37" s="16" t="inlineStr">
        <is>
          <t>Telefonia</t>
        </is>
      </c>
      <c r="D37" s="16" t="inlineStr">
        <is>
          <t>Fijo/Mensual</t>
        </is>
      </c>
      <c r="E37" s="16" t="n">
        <v>10</v>
      </c>
      <c r="F37" s="17" t="n">
        <v>100000</v>
      </c>
    </row>
    <row r="38">
      <c r="A38" s="16" t="inlineStr">
        <is>
          <t>Celular Tigo Sistema</t>
        </is>
      </c>
      <c r="B38" s="16" t="inlineStr">
        <is>
          <t>NeuroTEA</t>
        </is>
      </c>
      <c r="C38" s="16" t="inlineStr">
        <is>
          <t>Telefonia</t>
        </is>
      </c>
      <c r="D38" s="16" t="inlineStr">
        <is>
          <t>Fijo/Mensual</t>
        </is>
      </c>
      <c r="E38" s="16" t="n">
        <v>10</v>
      </c>
      <c r="F38" s="17" t="n">
        <v>100000</v>
      </c>
    </row>
    <row r="39">
      <c r="A39" s="16" t="inlineStr">
        <is>
          <t>WhatsFlow</t>
        </is>
      </c>
      <c r="B39" s="16" t="inlineStr">
        <is>
          <t>NeuroTEA</t>
        </is>
      </c>
      <c r="C39" s="16" t="inlineStr">
        <is>
          <t>Telefonia</t>
        </is>
      </c>
      <c r="D39" s="16" t="inlineStr">
        <is>
          <t>Fijo/Mensual</t>
        </is>
      </c>
      <c r="E39" s="16" t="n">
        <v>5</v>
      </c>
      <c r="F39" s="17" t="n">
        <v>150000</v>
      </c>
    </row>
    <row r="40">
      <c r="A40" s="16" t="inlineStr">
        <is>
          <t>Internet NeuroTEA</t>
        </is>
      </c>
      <c r="B40" s="16" t="inlineStr">
        <is>
          <t>NeuroTEA</t>
        </is>
      </c>
      <c r="C40" s="16" t="inlineStr">
        <is>
          <t>Telefonia</t>
        </is>
      </c>
      <c r="D40" s="16" t="inlineStr">
        <is>
          <t>Fijo/Mensual</t>
        </is>
      </c>
      <c r="E40" s="16" t="n">
        <v>10</v>
      </c>
      <c r="F40" s="17" t="n">
        <v>200000</v>
      </c>
    </row>
    <row r="41">
      <c r="A41" s="78" t="inlineStr">
        <is>
          <t>OBLIGACIONES LEGALES NT</t>
        </is>
      </c>
    </row>
    <row r="42">
      <c r="A42" s="16" t="inlineStr">
        <is>
          <t>IVA</t>
        </is>
      </c>
      <c r="B42" s="16" t="inlineStr">
        <is>
          <t>NeuroTEA</t>
        </is>
      </c>
      <c r="C42" s="16" t="inlineStr">
        <is>
          <t>Obligaciones</t>
        </is>
      </c>
      <c r="D42" s="16" t="inlineStr">
        <is>
          <t>Variable/Mensual</t>
        </is>
      </c>
      <c r="E42" s="16" t="n">
        <v>20</v>
      </c>
      <c r="F42" s="17" t="n">
        <v>1500000</v>
      </c>
    </row>
    <row r="43">
      <c r="A43" s="16" t="inlineStr">
        <is>
          <t>IPS</t>
        </is>
      </c>
      <c r="B43" s="16" t="inlineStr">
        <is>
          <t>NeuroTEA</t>
        </is>
      </c>
      <c r="C43" s="16" t="inlineStr">
        <is>
          <t>Obligaciones</t>
        </is>
      </c>
      <c r="D43" s="16" t="inlineStr">
        <is>
          <t>Fijo/Mensual</t>
        </is>
      </c>
      <c r="E43" s="16" t="n">
        <v>15</v>
      </c>
      <c r="F43" s="17" t="n">
        <v>800000</v>
      </c>
    </row>
  </sheetData>
  <mergeCells count="8">
    <mergeCell ref="A26:R26"/>
    <mergeCell ref="A30:R30"/>
    <mergeCell ref="A41:R41"/>
    <mergeCell ref="A36:R36"/>
    <mergeCell ref="A14:R14"/>
    <mergeCell ref="A1:R1"/>
    <mergeCell ref="A23:R23"/>
    <mergeCell ref="A5:R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  <col width="30" customWidth="1" min="5" max="5"/>
    <col width="14" customWidth="1" min="6" max="6"/>
    <col width="18" customWidth="1" min="7" max="7"/>
    <col width="12" customWidth="1" min="8" max="8"/>
    <col width="25" customWidth="1" min="9" max="9"/>
  </cols>
  <sheetData>
    <row r="1">
      <c r="A1" s="79" t="inlineStr">
        <is>
          <t>REGISTRO DE MOVIMIENTOS - FAMILIA</t>
        </is>
      </c>
    </row>
    <row r="2">
      <c r="A2" s="80" t="inlineStr">
        <is>
          <t>Solo variables puros (compras puntuales). Gastos fijos van en GASTOS_FIJOS.</t>
        </is>
      </c>
    </row>
    <row r="3">
      <c r="A3" t="inlineStr">
        <is>
          <t>MES:</t>
        </is>
      </c>
      <c r="B3" s="3" t="inlineStr">
        <is>
          <t>Enero</t>
        </is>
      </c>
    </row>
    <row r="5">
      <c r="A5" s="81" t="inlineStr">
        <is>
          <t>FECHA</t>
        </is>
      </c>
      <c r="B5" s="81" t="inlineStr">
        <is>
          <t>TIPO</t>
        </is>
      </c>
      <c r="C5" s="81" t="inlineStr">
        <is>
          <t>CATEGORÍA</t>
        </is>
      </c>
      <c r="D5" s="81" t="inlineStr">
        <is>
          <t>SUBCATEGORÍA</t>
        </is>
      </c>
      <c r="E5" s="81" t="inlineStr">
        <is>
          <t>DESCRIPCIÓN</t>
        </is>
      </c>
      <c r="F5" s="81" t="inlineStr">
        <is>
          <t>MONTO</t>
        </is>
      </c>
      <c r="G5" s="81" t="inlineStr">
        <is>
          <t>CUENTA</t>
        </is>
      </c>
      <c r="H5" s="81" t="inlineStr">
        <is>
          <t>ESTADO</t>
        </is>
      </c>
      <c r="I5" s="81" t="inlineStr">
        <is>
          <t>NOTAS</t>
        </is>
      </c>
    </row>
    <row r="6">
      <c r="A6" s="82" t="n"/>
      <c r="B6" s="83" t="n"/>
      <c r="C6" s="83" t="n"/>
      <c r="D6" s="83" t="n"/>
      <c r="E6" s="83" t="n"/>
      <c r="F6" s="84" t="n"/>
      <c r="G6" s="83" t="n"/>
      <c r="H6" s="83" t="n"/>
      <c r="I6" s="83" t="n"/>
    </row>
    <row r="7">
      <c r="A7" s="82" t="n"/>
      <c r="B7" s="83" t="n"/>
      <c r="C7" s="83" t="n"/>
      <c r="D7" s="83" t="n"/>
      <c r="E7" s="83" t="n"/>
      <c r="F7" s="84" t="n"/>
      <c r="G7" s="83" t="n"/>
      <c r="H7" s="83" t="n"/>
      <c r="I7" s="83" t="n"/>
    </row>
    <row r="8">
      <c r="A8" s="82" t="n"/>
      <c r="B8" s="83" t="n"/>
      <c r="C8" s="83" t="n"/>
      <c r="D8" s="83" t="n"/>
      <c r="E8" s="83" t="n"/>
      <c r="F8" s="84" t="n"/>
      <c r="G8" s="83" t="n"/>
      <c r="H8" s="83" t="n"/>
      <c r="I8" s="83" t="n"/>
    </row>
    <row r="9">
      <c r="A9" s="82" t="n"/>
      <c r="B9" s="83" t="n"/>
      <c r="C9" s="83" t="n"/>
      <c r="D9" s="83" t="n"/>
      <c r="E9" s="83" t="n"/>
      <c r="F9" s="84" t="n"/>
      <c r="G9" s="83" t="n"/>
      <c r="H9" s="83" t="n"/>
      <c r="I9" s="83" t="n"/>
    </row>
    <row r="10">
      <c r="A10" s="82" t="n"/>
      <c r="B10" s="83" t="n"/>
      <c r="C10" s="83" t="n"/>
      <c r="D10" s="83" t="n"/>
      <c r="E10" s="83" t="n"/>
      <c r="F10" s="84" t="n"/>
      <c r="G10" s="83" t="n"/>
      <c r="H10" s="83" t="n"/>
      <c r="I10" s="83" t="n"/>
    </row>
    <row r="11">
      <c r="A11" s="82" t="n"/>
      <c r="B11" s="83" t="n"/>
      <c r="C11" s="83" t="n"/>
      <c r="D11" s="83" t="n"/>
      <c r="E11" s="83" t="n"/>
      <c r="F11" s="84" t="n"/>
      <c r="G11" s="83" t="n"/>
      <c r="H11" s="83" t="n"/>
      <c r="I11" s="83" t="n"/>
    </row>
    <row r="12">
      <c r="A12" s="82" t="n"/>
      <c r="B12" s="83" t="n"/>
      <c r="C12" s="83" t="n"/>
      <c r="D12" s="83" t="n"/>
      <c r="E12" s="83" t="n"/>
      <c r="F12" s="84" t="n"/>
      <c r="G12" s="83" t="n"/>
      <c r="H12" s="83" t="n"/>
      <c r="I12" s="83" t="n"/>
    </row>
    <row r="13">
      <c r="A13" s="82" t="n"/>
      <c r="B13" s="83" t="n"/>
      <c r="C13" s="83" t="n"/>
      <c r="D13" s="83" t="n"/>
      <c r="E13" s="83" t="n"/>
      <c r="F13" s="84" t="n"/>
      <c r="G13" s="83" t="n"/>
      <c r="H13" s="83" t="n"/>
      <c r="I13" s="83" t="n"/>
    </row>
    <row r="14">
      <c r="A14" s="82" t="n"/>
      <c r="B14" s="83" t="n"/>
      <c r="C14" s="83" t="n"/>
      <c r="D14" s="83" t="n"/>
      <c r="E14" s="83" t="n"/>
      <c r="F14" s="84" t="n"/>
      <c r="G14" s="83" t="n"/>
      <c r="H14" s="83" t="n"/>
      <c r="I14" s="83" t="n"/>
    </row>
    <row r="15">
      <c r="A15" s="82" t="n"/>
      <c r="B15" s="83" t="n"/>
      <c r="C15" s="83" t="n"/>
      <c r="D15" s="83" t="n"/>
      <c r="E15" s="83" t="n"/>
      <c r="F15" s="84" t="n"/>
      <c r="G15" s="83" t="n"/>
      <c r="H15" s="83" t="n"/>
      <c r="I15" s="83" t="n"/>
    </row>
    <row r="16">
      <c r="A16" s="82" t="n"/>
      <c r="B16" s="83" t="n"/>
      <c r="C16" s="83" t="n"/>
      <c r="D16" s="83" t="n"/>
      <c r="E16" s="83" t="n"/>
      <c r="F16" s="84" t="n"/>
      <c r="G16" s="83" t="n"/>
      <c r="H16" s="83" t="n"/>
      <c r="I16" s="83" t="n"/>
    </row>
    <row r="17">
      <c r="A17" s="82" t="n"/>
      <c r="B17" s="83" t="n"/>
      <c r="C17" s="83" t="n"/>
      <c r="D17" s="83" t="n"/>
      <c r="E17" s="83" t="n"/>
      <c r="F17" s="84" t="n"/>
      <c r="G17" s="83" t="n"/>
      <c r="H17" s="83" t="n"/>
      <c r="I17" s="83" t="n"/>
    </row>
    <row r="18">
      <c r="A18" s="82" t="n"/>
      <c r="B18" s="83" t="n"/>
      <c r="C18" s="83" t="n"/>
      <c r="D18" s="83" t="n"/>
      <c r="E18" s="83" t="n"/>
      <c r="F18" s="84" t="n"/>
      <c r="G18" s="83" t="n"/>
      <c r="H18" s="83" t="n"/>
      <c r="I18" s="83" t="n"/>
    </row>
    <row r="19">
      <c r="A19" s="82" t="n"/>
      <c r="B19" s="83" t="n"/>
      <c r="C19" s="83" t="n"/>
      <c r="D19" s="83" t="n"/>
      <c r="E19" s="83" t="n"/>
      <c r="F19" s="84" t="n"/>
      <c r="G19" s="83" t="n"/>
      <c r="H19" s="83" t="n"/>
      <c r="I19" s="83" t="n"/>
    </row>
    <row r="20">
      <c r="A20" s="82" t="n"/>
      <c r="B20" s="83" t="n"/>
      <c r="C20" s="83" t="n"/>
      <c r="D20" s="83" t="n"/>
      <c r="E20" s="83" t="n"/>
      <c r="F20" s="84" t="n"/>
      <c r="G20" s="83" t="n"/>
      <c r="H20" s="83" t="n"/>
      <c r="I20" s="83" t="n"/>
    </row>
    <row r="21">
      <c r="A21" s="82" t="n"/>
      <c r="B21" s="83" t="n"/>
      <c r="C21" s="83" t="n"/>
      <c r="D21" s="83" t="n"/>
      <c r="E21" s="83" t="n"/>
      <c r="F21" s="84" t="n"/>
      <c r="G21" s="83" t="n"/>
      <c r="H21" s="83" t="n"/>
      <c r="I21" s="83" t="n"/>
    </row>
    <row r="22">
      <c r="A22" s="82" t="n"/>
      <c r="B22" s="83" t="n"/>
      <c r="C22" s="83" t="n"/>
      <c r="D22" s="83" t="n"/>
      <c r="E22" s="83" t="n"/>
      <c r="F22" s="84" t="n"/>
      <c r="G22" s="83" t="n"/>
      <c r="H22" s="83" t="n"/>
      <c r="I22" s="83" t="n"/>
    </row>
    <row r="23">
      <c r="A23" s="82" t="n"/>
      <c r="B23" s="83" t="n"/>
      <c r="C23" s="83" t="n"/>
      <c r="D23" s="83" t="n"/>
      <c r="E23" s="83" t="n"/>
      <c r="F23" s="84" t="n"/>
      <c r="G23" s="83" t="n"/>
      <c r="H23" s="83" t="n"/>
      <c r="I23" s="83" t="n"/>
    </row>
    <row r="24">
      <c r="A24" s="82" t="n"/>
      <c r="B24" s="83" t="n"/>
      <c r="C24" s="83" t="n"/>
      <c r="D24" s="83" t="n"/>
      <c r="E24" s="83" t="n"/>
      <c r="F24" s="84" t="n"/>
      <c r="G24" s="83" t="n"/>
      <c r="H24" s="83" t="n"/>
      <c r="I24" s="83" t="n"/>
    </row>
    <row r="25">
      <c r="A25" s="82" t="n"/>
      <c r="B25" s="83" t="n"/>
      <c r="C25" s="83" t="n"/>
      <c r="D25" s="83" t="n"/>
      <c r="E25" s="83" t="n"/>
      <c r="F25" s="84" t="n"/>
      <c r="G25" s="83" t="n"/>
      <c r="H25" s="83" t="n"/>
      <c r="I25" s="83" t="n"/>
    </row>
    <row r="26">
      <c r="A26" s="82" t="n"/>
      <c r="B26" s="83" t="n"/>
      <c r="C26" s="83" t="n"/>
      <c r="D26" s="83" t="n"/>
      <c r="E26" s="83" t="n"/>
      <c r="F26" s="84" t="n"/>
      <c r="G26" s="83" t="n"/>
      <c r="H26" s="83" t="n"/>
      <c r="I26" s="83" t="n"/>
    </row>
    <row r="27">
      <c r="A27" s="82" t="n"/>
      <c r="B27" s="83" t="n"/>
      <c r="C27" s="83" t="n"/>
      <c r="D27" s="83" t="n"/>
      <c r="E27" s="83" t="n"/>
      <c r="F27" s="84" t="n"/>
      <c r="G27" s="83" t="n"/>
      <c r="H27" s="83" t="n"/>
      <c r="I27" s="83" t="n"/>
    </row>
    <row r="28">
      <c r="A28" s="82" t="n"/>
      <c r="B28" s="83" t="n"/>
      <c r="C28" s="83" t="n"/>
      <c r="D28" s="83" t="n"/>
      <c r="E28" s="83" t="n"/>
      <c r="F28" s="84" t="n"/>
      <c r="G28" s="83" t="n"/>
      <c r="H28" s="83" t="n"/>
      <c r="I28" s="83" t="n"/>
    </row>
    <row r="29">
      <c r="A29" s="82" t="n"/>
      <c r="B29" s="83" t="n"/>
      <c r="C29" s="83" t="n"/>
      <c r="D29" s="83" t="n"/>
      <c r="E29" s="83" t="n"/>
      <c r="F29" s="84" t="n"/>
      <c r="G29" s="83" t="n"/>
      <c r="H29" s="83" t="n"/>
      <c r="I29" s="83" t="n"/>
    </row>
    <row r="30">
      <c r="A30" s="82" t="n"/>
      <c r="B30" s="83" t="n"/>
      <c r="C30" s="83" t="n"/>
      <c r="D30" s="83" t="n"/>
      <c r="E30" s="83" t="n"/>
      <c r="F30" s="84" t="n"/>
      <c r="G30" s="83" t="n"/>
      <c r="H30" s="83" t="n"/>
      <c r="I30" s="83" t="n"/>
    </row>
    <row r="31">
      <c r="A31" s="82" t="n"/>
      <c r="B31" s="83" t="n"/>
      <c r="C31" s="83" t="n"/>
      <c r="D31" s="83" t="n"/>
      <c r="E31" s="83" t="n"/>
      <c r="F31" s="84" t="n"/>
      <c r="G31" s="83" t="n"/>
      <c r="H31" s="83" t="n"/>
      <c r="I31" s="83" t="n"/>
    </row>
    <row r="32">
      <c r="A32" s="82" t="n"/>
      <c r="B32" s="83" t="n"/>
      <c r="C32" s="83" t="n"/>
      <c r="D32" s="83" t="n"/>
      <c r="E32" s="83" t="n"/>
      <c r="F32" s="84" t="n"/>
      <c r="G32" s="83" t="n"/>
      <c r="H32" s="83" t="n"/>
      <c r="I32" s="83" t="n"/>
    </row>
    <row r="33">
      <c r="A33" s="82" t="n"/>
      <c r="B33" s="83" t="n"/>
      <c r="C33" s="83" t="n"/>
      <c r="D33" s="83" t="n"/>
      <c r="E33" s="83" t="n"/>
      <c r="F33" s="84" t="n"/>
      <c r="G33" s="83" t="n"/>
      <c r="H33" s="83" t="n"/>
      <c r="I33" s="83" t="n"/>
    </row>
    <row r="34">
      <c r="A34" s="82" t="n"/>
      <c r="B34" s="83" t="n"/>
      <c r="C34" s="83" t="n"/>
      <c r="D34" s="83" t="n"/>
      <c r="E34" s="83" t="n"/>
      <c r="F34" s="84" t="n"/>
      <c r="G34" s="83" t="n"/>
      <c r="H34" s="83" t="n"/>
      <c r="I34" s="83" t="n"/>
    </row>
    <row r="35">
      <c r="A35" s="82" t="n"/>
      <c r="B35" s="83" t="n"/>
      <c r="C35" s="83" t="n"/>
      <c r="D35" s="83" t="n"/>
      <c r="E35" s="83" t="n"/>
      <c r="F35" s="84" t="n"/>
      <c r="G35" s="83" t="n"/>
      <c r="H35" s="83" t="n"/>
      <c r="I35" s="83" t="n"/>
    </row>
    <row r="36">
      <c r="A36" s="82" t="n"/>
      <c r="B36" s="83" t="n"/>
      <c r="C36" s="83" t="n"/>
      <c r="D36" s="83" t="n"/>
      <c r="E36" s="83" t="n"/>
      <c r="F36" s="84" t="n"/>
      <c r="G36" s="83" t="n"/>
      <c r="H36" s="83" t="n"/>
      <c r="I36" s="83" t="n"/>
    </row>
    <row r="37">
      <c r="A37" s="82" t="n"/>
      <c r="B37" s="83" t="n"/>
      <c r="C37" s="83" t="n"/>
      <c r="D37" s="83" t="n"/>
      <c r="E37" s="83" t="n"/>
      <c r="F37" s="84" t="n"/>
      <c r="G37" s="83" t="n"/>
      <c r="H37" s="83" t="n"/>
      <c r="I37" s="83" t="n"/>
    </row>
    <row r="38">
      <c r="A38" s="82" t="n"/>
      <c r="B38" s="83" t="n"/>
      <c r="C38" s="83" t="n"/>
      <c r="D38" s="83" t="n"/>
      <c r="E38" s="83" t="n"/>
      <c r="F38" s="84" t="n"/>
      <c r="G38" s="83" t="n"/>
      <c r="H38" s="83" t="n"/>
      <c r="I38" s="83" t="n"/>
    </row>
    <row r="39">
      <c r="A39" s="82" t="n"/>
      <c r="B39" s="83" t="n"/>
      <c r="C39" s="83" t="n"/>
      <c r="D39" s="83" t="n"/>
      <c r="E39" s="83" t="n"/>
      <c r="F39" s="84" t="n"/>
      <c r="G39" s="83" t="n"/>
      <c r="H39" s="83" t="n"/>
      <c r="I39" s="83" t="n"/>
    </row>
    <row r="40">
      <c r="A40" s="82" t="n"/>
      <c r="B40" s="83" t="n"/>
      <c r="C40" s="83" t="n"/>
      <c r="D40" s="83" t="n"/>
      <c r="E40" s="83" t="n"/>
      <c r="F40" s="84" t="n"/>
      <c r="G40" s="83" t="n"/>
      <c r="H40" s="83" t="n"/>
      <c r="I40" s="83" t="n"/>
    </row>
    <row r="41">
      <c r="A41" s="82" t="n"/>
      <c r="B41" s="83" t="n"/>
      <c r="C41" s="83" t="n"/>
      <c r="D41" s="83" t="n"/>
      <c r="E41" s="83" t="n"/>
      <c r="F41" s="84" t="n"/>
      <c r="G41" s="83" t="n"/>
      <c r="H41" s="83" t="n"/>
      <c r="I41" s="83" t="n"/>
    </row>
    <row r="42">
      <c r="A42" s="82" t="n"/>
      <c r="B42" s="83" t="n"/>
      <c r="C42" s="83" t="n"/>
      <c r="D42" s="83" t="n"/>
      <c r="E42" s="83" t="n"/>
      <c r="F42" s="84" t="n"/>
      <c r="G42" s="83" t="n"/>
      <c r="H42" s="83" t="n"/>
      <c r="I42" s="83" t="n"/>
    </row>
    <row r="43">
      <c r="A43" s="82" t="n"/>
      <c r="B43" s="83" t="n"/>
      <c r="C43" s="83" t="n"/>
      <c r="D43" s="83" t="n"/>
      <c r="E43" s="83" t="n"/>
      <c r="F43" s="84" t="n"/>
      <c r="G43" s="83" t="n"/>
      <c r="H43" s="83" t="n"/>
      <c r="I43" s="83" t="n"/>
    </row>
    <row r="44">
      <c r="A44" s="82" t="n"/>
      <c r="B44" s="83" t="n"/>
      <c r="C44" s="83" t="n"/>
      <c r="D44" s="83" t="n"/>
      <c r="E44" s="83" t="n"/>
      <c r="F44" s="84" t="n"/>
      <c r="G44" s="83" t="n"/>
      <c r="H44" s="83" t="n"/>
      <c r="I44" s="83" t="n"/>
    </row>
    <row r="45">
      <c r="A45" s="82" t="n"/>
      <c r="B45" s="83" t="n"/>
      <c r="C45" s="83" t="n"/>
      <c r="D45" s="83" t="n"/>
      <c r="E45" s="83" t="n"/>
      <c r="F45" s="84" t="n"/>
      <c r="G45" s="83" t="n"/>
      <c r="H45" s="83" t="n"/>
      <c r="I45" s="83" t="n"/>
    </row>
    <row r="46">
      <c r="A46" s="82" t="n"/>
      <c r="B46" s="83" t="n"/>
      <c r="C46" s="83" t="n"/>
      <c r="D46" s="83" t="n"/>
      <c r="E46" s="83" t="n"/>
      <c r="F46" s="84" t="n"/>
      <c r="G46" s="83" t="n"/>
      <c r="H46" s="83" t="n"/>
      <c r="I46" s="83" t="n"/>
    </row>
    <row r="47">
      <c r="A47" s="82" t="n"/>
      <c r="B47" s="83" t="n"/>
      <c r="C47" s="83" t="n"/>
      <c r="D47" s="83" t="n"/>
      <c r="E47" s="83" t="n"/>
      <c r="F47" s="84" t="n"/>
      <c r="G47" s="83" t="n"/>
      <c r="H47" s="83" t="n"/>
      <c r="I47" s="83" t="n"/>
    </row>
    <row r="48">
      <c r="A48" s="82" t="n"/>
      <c r="B48" s="83" t="n"/>
      <c r="C48" s="83" t="n"/>
      <c r="D48" s="83" t="n"/>
      <c r="E48" s="83" t="n"/>
      <c r="F48" s="84" t="n"/>
      <c r="G48" s="83" t="n"/>
      <c r="H48" s="83" t="n"/>
      <c r="I48" s="83" t="n"/>
    </row>
    <row r="49">
      <c r="A49" s="82" t="n"/>
      <c r="B49" s="83" t="n"/>
      <c r="C49" s="83" t="n"/>
      <c r="D49" s="83" t="n"/>
      <c r="E49" s="83" t="n"/>
      <c r="F49" s="84" t="n"/>
      <c r="G49" s="83" t="n"/>
      <c r="H49" s="83" t="n"/>
      <c r="I49" s="83" t="n"/>
    </row>
  </sheetData>
  <mergeCells count="1">
    <mergeCell ref="A1:I1"/>
  </mergeCells>
  <dataValidations count="5">
    <dataValidation sqref="B6:B500" showDropDown="0" showInputMessage="0" showErrorMessage="0" allowBlank="0" type="list">
      <formula1>"Salario Marco,Salario Marco NeuroTEA,Vacaciones Marco,Adelanto Aguinaldo Marco,Saldo Aguinaldo Marco,Viático Marco,Animador Bíblico Marco,Tarjeta Gourmed,Contrato Colectivo Marco,PL Itaipu Marco,Honorarios Clara NeuroTEA,Préstamo NeuroTEA,Préstamo Otros Bancos,Egreso Familiar"</formula1>
    </dataValidation>
    <dataValidation sqref="C6:C500" showDropDown="0" showInputMessage="0" showErrorMessage="0" allowBlank="0" type="list">
      <formula1>"GASTOS FIJOS,CUOTAS Y PRÉSTAMOS,OBLIGACIONES LEGALES,SUSCRIPCIONES,VARIABLES,AHORRO"</formula1>
    </dataValidation>
    <dataValidation sqref="D6:D500" showDropDown="0" showInputMessage="0" showErrorMessage="0" allowBlank="0" type="list">
      <formula1>"Supermercado,Combustible,Mant. Auto Clara,Mant. Auto Niños,Mant. Camioneta Marco,Ropa/Vestidos,Recreación,Salud y Medicamentos,Gastos no identificados,Devolución Familia → NT"</formula1>
    </dataValidation>
    <dataValidation sqref="G6:G500" showDropDown="0" showInputMessage="0" showErrorMessage="0" allowBlank="0" type="list">
      <formula1>"ITAU Marco,Coop. Univ. Marco,ITAU Clara,UENO Clara,Tarjeta Solar Clara,Tarjeta ITAU Clara,Tarjeta ITAU Marco,Tarjeta Comecipar Clara,Gourmed,Efectivo"</formula1>
    </dataValidation>
    <dataValidation sqref="H6:H500" showDropDown="0" showInputMessage="0" showErrorMessage="0" allowBlank="0" type="list">
      <formula1>"Pendiente,Pagado,Cancelado"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4" customWidth="1" min="4" max="4"/>
    <col width="30" customWidth="1" min="5" max="5"/>
    <col width="14" customWidth="1" min="6" max="6"/>
    <col width="16" customWidth="1" min="7" max="7"/>
    <col width="12" customWidth="1" min="8" max="8"/>
    <col width="25" customWidth="1" min="9" max="9"/>
  </cols>
  <sheetData>
    <row r="1">
      <c r="A1" s="85" t="inlineStr">
        <is>
          <t>REGISTRO DE MOVIMIENTOS - NEUROTEA</t>
        </is>
      </c>
    </row>
    <row r="2">
      <c r="A2" s="80" t="inlineStr">
        <is>
          <t>Variables puros y Eventos. Gastos fijos van en GASTOS_FIJOS.</t>
        </is>
      </c>
    </row>
    <row r="3">
      <c r="A3" t="inlineStr">
        <is>
          <t>MES:</t>
        </is>
      </c>
      <c r="B3" s="3" t="inlineStr">
        <is>
          <t>Enero</t>
        </is>
      </c>
    </row>
    <row r="5">
      <c r="A5" s="81" t="inlineStr">
        <is>
          <t>FECHA</t>
        </is>
      </c>
      <c r="B5" s="81" t="inlineStr">
        <is>
          <t>TIPO</t>
        </is>
      </c>
      <c r="C5" s="81" t="inlineStr">
        <is>
          <t>CATEGORÍA</t>
        </is>
      </c>
      <c r="D5" s="81" t="inlineStr">
        <is>
          <t>SUBCATEGORÍA</t>
        </is>
      </c>
      <c r="E5" s="81" t="inlineStr">
        <is>
          <t>DESCRIPCIÓN</t>
        </is>
      </c>
      <c r="F5" s="81" t="inlineStr">
        <is>
          <t>MONTO</t>
        </is>
      </c>
      <c r="G5" s="81" t="inlineStr">
        <is>
          <t>CUENTA</t>
        </is>
      </c>
      <c r="H5" s="81" t="inlineStr">
        <is>
          <t>ESTADO</t>
        </is>
      </c>
      <c r="I5" s="81" t="inlineStr">
        <is>
          <t>NOTAS</t>
        </is>
      </c>
    </row>
    <row r="6">
      <c r="A6" s="82" t="n"/>
      <c r="B6" s="83" t="n"/>
      <c r="C6" s="83" t="n"/>
      <c r="D6" s="83" t="n"/>
      <c r="E6" s="83" t="n"/>
      <c r="F6" s="84" t="n"/>
      <c r="G6" s="83" t="n"/>
      <c r="H6" s="83" t="n"/>
      <c r="I6" s="83" t="n"/>
    </row>
    <row r="7">
      <c r="A7" s="82" t="n"/>
      <c r="B7" s="83" t="n"/>
      <c r="C7" s="83" t="n"/>
      <c r="D7" s="83" t="n"/>
      <c r="E7" s="83" t="n"/>
      <c r="F7" s="84" t="n"/>
      <c r="G7" s="83" t="n"/>
      <c r="H7" s="83" t="n"/>
      <c r="I7" s="83" t="n"/>
    </row>
    <row r="8">
      <c r="A8" s="82" t="n"/>
      <c r="B8" s="83" t="n"/>
      <c r="C8" s="83" t="n"/>
      <c r="D8" s="83" t="n"/>
      <c r="E8" s="83" t="n"/>
      <c r="F8" s="84" t="n"/>
      <c r="G8" s="83" t="n"/>
      <c r="H8" s="83" t="n"/>
      <c r="I8" s="83" t="n"/>
    </row>
    <row r="9">
      <c r="A9" s="82" t="n"/>
      <c r="B9" s="83" t="n"/>
      <c r="C9" s="83" t="n"/>
      <c r="D9" s="83" t="n"/>
      <c r="E9" s="83" t="n"/>
      <c r="F9" s="84" t="n"/>
      <c r="G9" s="83" t="n"/>
      <c r="H9" s="83" t="n"/>
      <c r="I9" s="83" t="n"/>
    </row>
    <row r="10">
      <c r="A10" s="82" t="n"/>
      <c r="B10" s="83" t="n"/>
      <c r="C10" s="83" t="n"/>
      <c r="D10" s="83" t="n"/>
      <c r="E10" s="83" t="n"/>
      <c r="F10" s="84" t="n"/>
      <c r="G10" s="83" t="n"/>
      <c r="H10" s="83" t="n"/>
      <c r="I10" s="83" t="n"/>
    </row>
    <row r="11">
      <c r="A11" s="82" t="n"/>
      <c r="B11" s="83" t="n"/>
      <c r="C11" s="83" t="n"/>
      <c r="D11" s="83" t="n"/>
      <c r="E11" s="83" t="n"/>
      <c r="F11" s="84" t="n"/>
      <c r="G11" s="83" t="n"/>
      <c r="H11" s="83" t="n"/>
      <c r="I11" s="83" t="n"/>
    </row>
    <row r="12">
      <c r="A12" s="82" t="n"/>
      <c r="B12" s="83" t="n"/>
      <c r="C12" s="83" t="n"/>
      <c r="D12" s="83" t="n"/>
      <c r="E12" s="83" t="n"/>
      <c r="F12" s="84" t="n"/>
      <c r="G12" s="83" t="n"/>
      <c r="H12" s="83" t="n"/>
      <c r="I12" s="83" t="n"/>
    </row>
    <row r="13">
      <c r="A13" s="82" t="n"/>
      <c r="B13" s="83" t="n"/>
      <c r="C13" s="83" t="n"/>
      <c r="D13" s="83" t="n"/>
      <c r="E13" s="83" t="n"/>
      <c r="F13" s="84" t="n"/>
      <c r="G13" s="83" t="n"/>
      <c r="H13" s="83" t="n"/>
      <c r="I13" s="83" t="n"/>
    </row>
    <row r="14">
      <c r="A14" s="82" t="n"/>
      <c r="B14" s="83" t="n"/>
      <c r="C14" s="83" t="n"/>
      <c r="D14" s="83" t="n"/>
      <c r="E14" s="83" t="n"/>
      <c r="F14" s="84" t="n"/>
      <c r="G14" s="83" t="n"/>
      <c r="H14" s="83" t="n"/>
      <c r="I14" s="83" t="n"/>
    </row>
    <row r="15">
      <c r="A15" s="82" t="n"/>
      <c r="B15" s="83" t="n"/>
      <c r="C15" s="83" t="n"/>
      <c r="D15" s="83" t="n"/>
      <c r="E15" s="83" t="n"/>
      <c r="F15" s="84" t="n"/>
      <c r="G15" s="83" t="n"/>
      <c r="H15" s="83" t="n"/>
      <c r="I15" s="83" t="n"/>
    </row>
    <row r="16">
      <c r="A16" s="82" t="n"/>
      <c r="B16" s="83" t="n"/>
      <c r="C16" s="83" t="n"/>
      <c r="D16" s="83" t="n"/>
      <c r="E16" s="83" t="n"/>
      <c r="F16" s="84" t="n"/>
      <c r="G16" s="83" t="n"/>
      <c r="H16" s="83" t="n"/>
      <c r="I16" s="83" t="n"/>
    </row>
    <row r="17">
      <c r="A17" s="82" t="n"/>
      <c r="B17" s="83" t="n"/>
      <c r="C17" s="83" t="n"/>
      <c r="D17" s="83" t="n"/>
      <c r="E17" s="83" t="n"/>
      <c r="F17" s="84" t="n"/>
      <c r="G17" s="83" t="n"/>
      <c r="H17" s="83" t="n"/>
      <c r="I17" s="83" t="n"/>
    </row>
    <row r="18">
      <c r="A18" s="82" t="n"/>
      <c r="B18" s="83" t="n"/>
      <c r="C18" s="83" t="n"/>
      <c r="D18" s="83" t="n"/>
      <c r="E18" s="83" t="n"/>
      <c r="F18" s="84" t="n"/>
      <c r="G18" s="83" t="n"/>
      <c r="H18" s="83" t="n"/>
      <c r="I18" s="83" t="n"/>
    </row>
    <row r="19">
      <c r="A19" s="82" t="n"/>
      <c r="B19" s="83" t="n"/>
      <c r="C19" s="83" t="n"/>
      <c r="D19" s="83" t="n"/>
      <c r="E19" s="83" t="n"/>
      <c r="F19" s="84" t="n"/>
      <c r="G19" s="83" t="n"/>
      <c r="H19" s="83" t="n"/>
      <c r="I19" s="83" t="n"/>
    </row>
    <row r="20">
      <c r="A20" s="82" t="n"/>
      <c r="B20" s="83" t="n"/>
      <c r="C20" s="83" t="n"/>
      <c r="D20" s="83" t="n"/>
      <c r="E20" s="83" t="n"/>
      <c r="F20" s="84" t="n"/>
      <c r="G20" s="83" t="n"/>
      <c r="H20" s="83" t="n"/>
      <c r="I20" s="83" t="n"/>
    </row>
    <row r="21">
      <c r="A21" s="82" t="n"/>
      <c r="B21" s="83" t="n"/>
      <c r="C21" s="83" t="n"/>
      <c r="D21" s="83" t="n"/>
      <c r="E21" s="83" t="n"/>
      <c r="F21" s="84" t="n"/>
      <c r="G21" s="83" t="n"/>
      <c r="H21" s="83" t="n"/>
      <c r="I21" s="83" t="n"/>
    </row>
    <row r="22">
      <c r="A22" s="82" t="n"/>
      <c r="B22" s="83" t="n"/>
      <c r="C22" s="83" t="n"/>
      <c r="D22" s="83" t="n"/>
      <c r="E22" s="83" t="n"/>
      <c r="F22" s="84" t="n"/>
      <c r="G22" s="83" t="n"/>
      <c r="H22" s="83" t="n"/>
      <c r="I22" s="83" t="n"/>
    </row>
    <row r="23">
      <c r="A23" s="82" t="n"/>
      <c r="B23" s="83" t="n"/>
      <c r="C23" s="83" t="n"/>
      <c r="D23" s="83" t="n"/>
      <c r="E23" s="83" t="n"/>
      <c r="F23" s="84" t="n"/>
      <c r="G23" s="83" t="n"/>
      <c r="H23" s="83" t="n"/>
      <c r="I23" s="83" t="n"/>
    </row>
    <row r="24">
      <c r="A24" s="82" t="n"/>
      <c r="B24" s="83" t="n"/>
      <c r="C24" s="83" t="n"/>
      <c r="D24" s="83" t="n"/>
      <c r="E24" s="83" t="n"/>
      <c r="F24" s="84" t="n"/>
      <c r="G24" s="83" t="n"/>
      <c r="H24" s="83" t="n"/>
      <c r="I24" s="83" t="n"/>
    </row>
    <row r="25">
      <c r="A25" s="82" t="n"/>
      <c r="B25" s="83" t="n"/>
      <c r="C25" s="83" t="n"/>
      <c r="D25" s="83" t="n"/>
      <c r="E25" s="83" t="n"/>
      <c r="F25" s="84" t="n"/>
      <c r="G25" s="83" t="n"/>
      <c r="H25" s="83" t="n"/>
      <c r="I25" s="83" t="n"/>
    </row>
    <row r="26">
      <c r="A26" s="82" t="n"/>
      <c r="B26" s="83" t="n"/>
      <c r="C26" s="83" t="n"/>
      <c r="D26" s="83" t="n"/>
      <c r="E26" s="83" t="n"/>
      <c r="F26" s="84" t="n"/>
      <c r="G26" s="83" t="n"/>
      <c r="H26" s="83" t="n"/>
      <c r="I26" s="83" t="n"/>
    </row>
    <row r="27">
      <c r="A27" s="82" t="n"/>
      <c r="B27" s="83" t="n"/>
      <c r="C27" s="83" t="n"/>
      <c r="D27" s="83" t="n"/>
      <c r="E27" s="83" t="n"/>
      <c r="F27" s="84" t="n"/>
      <c r="G27" s="83" t="n"/>
      <c r="H27" s="83" t="n"/>
      <c r="I27" s="83" t="n"/>
    </row>
    <row r="28">
      <c r="A28" s="82" t="n"/>
      <c r="B28" s="83" t="n"/>
      <c r="C28" s="83" t="n"/>
      <c r="D28" s="83" t="n"/>
      <c r="E28" s="83" t="n"/>
      <c r="F28" s="84" t="n"/>
      <c r="G28" s="83" t="n"/>
      <c r="H28" s="83" t="n"/>
      <c r="I28" s="83" t="n"/>
    </row>
    <row r="29">
      <c r="A29" s="82" t="n"/>
      <c r="B29" s="83" t="n"/>
      <c r="C29" s="83" t="n"/>
      <c r="D29" s="83" t="n"/>
      <c r="E29" s="83" t="n"/>
      <c r="F29" s="84" t="n"/>
      <c r="G29" s="83" t="n"/>
      <c r="H29" s="83" t="n"/>
      <c r="I29" s="83" t="n"/>
    </row>
    <row r="30">
      <c r="A30" s="82" t="n"/>
      <c r="B30" s="83" t="n"/>
      <c r="C30" s="83" t="n"/>
      <c r="D30" s="83" t="n"/>
      <c r="E30" s="83" t="n"/>
      <c r="F30" s="84" t="n"/>
      <c r="G30" s="83" t="n"/>
      <c r="H30" s="83" t="n"/>
      <c r="I30" s="83" t="n"/>
    </row>
    <row r="31">
      <c r="A31" s="82" t="n"/>
      <c r="B31" s="83" t="n"/>
      <c r="C31" s="83" t="n"/>
      <c r="D31" s="83" t="n"/>
      <c r="E31" s="83" t="n"/>
      <c r="F31" s="84" t="n"/>
      <c r="G31" s="83" t="n"/>
      <c r="H31" s="83" t="n"/>
      <c r="I31" s="83" t="n"/>
    </row>
    <row r="32">
      <c r="A32" s="82" t="n"/>
      <c r="B32" s="83" t="n"/>
      <c r="C32" s="83" t="n"/>
      <c r="D32" s="83" t="n"/>
      <c r="E32" s="83" t="n"/>
      <c r="F32" s="84" t="n"/>
      <c r="G32" s="83" t="n"/>
      <c r="H32" s="83" t="n"/>
      <c r="I32" s="83" t="n"/>
    </row>
    <row r="33">
      <c r="A33" s="82" t="n"/>
      <c r="B33" s="83" t="n"/>
      <c r="C33" s="83" t="n"/>
      <c r="D33" s="83" t="n"/>
      <c r="E33" s="83" t="n"/>
      <c r="F33" s="84" t="n"/>
      <c r="G33" s="83" t="n"/>
      <c r="H33" s="83" t="n"/>
      <c r="I33" s="83" t="n"/>
    </row>
    <row r="34">
      <c r="A34" s="82" t="n"/>
      <c r="B34" s="83" t="n"/>
      <c r="C34" s="83" t="n"/>
      <c r="D34" s="83" t="n"/>
      <c r="E34" s="83" t="n"/>
      <c r="F34" s="84" t="n"/>
      <c r="G34" s="83" t="n"/>
      <c r="H34" s="83" t="n"/>
      <c r="I34" s="83" t="n"/>
    </row>
    <row r="35">
      <c r="A35" s="82" t="n"/>
      <c r="B35" s="83" t="n"/>
      <c r="C35" s="83" t="n"/>
      <c r="D35" s="83" t="n"/>
      <c r="E35" s="83" t="n"/>
      <c r="F35" s="84" t="n"/>
      <c r="G35" s="83" t="n"/>
      <c r="H35" s="83" t="n"/>
      <c r="I35" s="83" t="n"/>
    </row>
    <row r="36">
      <c r="A36" s="82" t="n"/>
      <c r="B36" s="83" t="n"/>
      <c r="C36" s="83" t="n"/>
      <c r="D36" s="83" t="n"/>
      <c r="E36" s="83" t="n"/>
      <c r="F36" s="84" t="n"/>
      <c r="G36" s="83" t="n"/>
      <c r="H36" s="83" t="n"/>
      <c r="I36" s="83" t="n"/>
    </row>
    <row r="37">
      <c r="A37" s="82" t="n"/>
      <c r="B37" s="83" t="n"/>
      <c r="C37" s="83" t="n"/>
      <c r="D37" s="83" t="n"/>
      <c r="E37" s="83" t="n"/>
      <c r="F37" s="84" t="n"/>
      <c r="G37" s="83" t="n"/>
      <c r="H37" s="83" t="n"/>
      <c r="I37" s="83" t="n"/>
    </row>
    <row r="38">
      <c r="A38" s="82" t="n"/>
      <c r="B38" s="83" t="n"/>
      <c r="C38" s="83" t="n"/>
      <c r="D38" s="83" t="n"/>
      <c r="E38" s="83" t="n"/>
      <c r="F38" s="84" t="n"/>
      <c r="G38" s="83" t="n"/>
      <c r="H38" s="83" t="n"/>
      <c r="I38" s="83" t="n"/>
    </row>
    <row r="39">
      <c r="A39" s="82" t="n"/>
      <c r="B39" s="83" t="n"/>
      <c r="C39" s="83" t="n"/>
      <c r="D39" s="83" t="n"/>
      <c r="E39" s="83" t="n"/>
      <c r="F39" s="84" t="n"/>
      <c r="G39" s="83" t="n"/>
      <c r="H39" s="83" t="n"/>
      <c r="I39" s="83" t="n"/>
    </row>
    <row r="40">
      <c r="A40" s="82" t="n"/>
      <c r="B40" s="83" t="n"/>
      <c r="C40" s="83" t="n"/>
      <c r="D40" s="83" t="n"/>
      <c r="E40" s="83" t="n"/>
      <c r="F40" s="84" t="n"/>
      <c r="G40" s="83" t="n"/>
      <c r="H40" s="83" t="n"/>
      <c r="I40" s="83" t="n"/>
    </row>
    <row r="41">
      <c r="A41" s="82" t="n"/>
      <c r="B41" s="83" t="n"/>
      <c r="C41" s="83" t="n"/>
      <c r="D41" s="83" t="n"/>
      <c r="E41" s="83" t="n"/>
      <c r="F41" s="84" t="n"/>
      <c r="G41" s="83" t="n"/>
      <c r="H41" s="83" t="n"/>
      <c r="I41" s="83" t="n"/>
    </row>
    <row r="42">
      <c r="A42" s="82" t="n"/>
      <c r="B42" s="83" t="n"/>
      <c r="C42" s="83" t="n"/>
      <c r="D42" s="83" t="n"/>
      <c r="E42" s="83" t="n"/>
      <c r="F42" s="84" t="n"/>
      <c r="G42" s="83" t="n"/>
      <c r="H42" s="83" t="n"/>
      <c r="I42" s="83" t="n"/>
    </row>
    <row r="43">
      <c r="A43" s="82" t="n"/>
      <c r="B43" s="83" t="n"/>
      <c r="C43" s="83" t="n"/>
      <c r="D43" s="83" t="n"/>
      <c r="E43" s="83" t="n"/>
      <c r="F43" s="84" t="n"/>
      <c r="G43" s="83" t="n"/>
      <c r="H43" s="83" t="n"/>
      <c r="I43" s="83" t="n"/>
    </row>
    <row r="44">
      <c r="A44" s="82" t="n"/>
      <c r="B44" s="83" t="n"/>
      <c r="C44" s="83" t="n"/>
      <c r="D44" s="83" t="n"/>
      <c r="E44" s="83" t="n"/>
      <c r="F44" s="84" t="n"/>
      <c r="G44" s="83" t="n"/>
      <c r="H44" s="83" t="n"/>
      <c r="I44" s="83" t="n"/>
    </row>
    <row r="45">
      <c r="A45" s="82" t="n"/>
      <c r="B45" s="83" t="n"/>
      <c r="C45" s="83" t="n"/>
      <c r="D45" s="83" t="n"/>
      <c r="E45" s="83" t="n"/>
      <c r="F45" s="84" t="n"/>
      <c r="G45" s="83" t="n"/>
      <c r="H45" s="83" t="n"/>
      <c r="I45" s="83" t="n"/>
    </row>
    <row r="46">
      <c r="A46" s="82" t="n"/>
      <c r="B46" s="83" t="n"/>
      <c r="C46" s="83" t="n"/>
      <c r="D46" s="83" t="n"/>
      <c r="E46" s="83" t="n"/>
      <c r="F46" s="84" t="n"/>
      <c r="G46" s="83" t="n"/>
      <c r="H46" s="83" t="n"/>
      <c r="I46" s="83" t="n"/>
    </row>
    <row r="47">
      <c r="A47" s="82" t="n"/>
      <c r="B47" s="83" t="n"/>
      <c r="C47" s="83" t="n"/>
      <c r="D47" s="83" t="n"/>
      <c r="E47" s="83" t="n"/>
      <c r="F47" s="84" t="n"/>
      <c r="G47" s="83" t="n"/>
      <c r="H47" s="83" t="n"/>
      <c r="I47" s="83" t="n"/>
    </row>
    <row r="48">
      <c r="A48" s="82" t="n"/>
      <c r="B48" s="83" t="n"/>
      <c r="C48" s="83" t="n"/>
      <c r="D48" s="83" t="n"/>
      <c r="E48" s="83" t="n"/>
      <c r="F48" s="84" t="n"/>
      <c r="G48" s="83" t="n"/>
      <c r="H48" s="83" t="n"/>
      <c r="I48" s="83" t="n"/>
    </row>
    <row r="49">
      <c r="A49" s="82" t="n"/>
      <c r="B49" s="83" t="n"/>
      <c r="C49" s="83" t="n"/>
      <c r="D49" s="83" t="n"/>
      <c r="E49" s="83" t="n"/>
      <c r="F49" s="84" t="n"/>
      <c r="G49" s="83" t="n"/>
      <c r="H49" s="83" t="n"/>
      <c r="I49" s="83" t="n"/>
    </row>
  </sheetData>
  <mergeCells count="1">
    <mergeCell ref="A1:I1"/>
  </mergeCells>
  <dataValidations count="5">
    <dataValidation sqref="B6:B500" showDropDown="0" showInputMessage="0" showErrorMessage="0" allowBlank="0" type="list">
      <formula1>"Aporte NeuroTEA Terapeutas,Cursos NeuroTEA,Otros,Devolución Familia → NT,Egreso NT"</formula1>
    </dataValidation>
    <dataValidation sqref="C6:C500" showDropDown="0" showInputMessage="0" showErrorMessage="0" allowBlank="0" type="list">
      <formula1>"CLÍNICA,SUELDOS Y HONORARIOS,TELEFONÍA E INTERNET,OBLIGACIONES LEGALES,EVENTOS,VARIABLES"</formula1>
    </dataValidation>
    <dataValidation sqref="D6:D500" showDropDown="0" showInputMessage="0" showErrorMessage="0" allowBlank="0" type="list">
      <formula1>"Insumos y Papelería,Reparaciones Clínica,Mantenimiento Aire,Gastos Cursos,Gastos Varios Cumple,Préstamo NT → Familia,Día del Autismo (Abril),San Juan (Junio),Día del Niño (Agosto),Clausura Padres (Nov),Navidad Papá Noel (Dic),Cena Fin de Año (Dic),Reserva 1,Reserva 2,Reserva 3,Reserva 4,Reserva 5,Reserva 6,Reserva 7,Reserva 8,Reserva 9,Reserva 10"</formula1>
    </dataValidation>
    <dataValidation sqref="G6:G500" showDropDown="0" showInputMessage="0" showErrorMessage="0" allowBlank="0" type="list">
      <formula1>"Atlas NeuroTEA,Caja Chica NT,Efectivo NT"</formula1>
    </dataValidation>
    <dataValidation sqref="H6:H500" showDropDown="0" showInputMessage="0" showErrorMessage="0" allowBlank="0" type="list">
      <formula1>"Pendiente,Pagado,Cancelado"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16" customWidth="1" min="3" max="3"/>
    <col width="12" customWidth="1" min="4" max="4"/>
    <col width="10" customWidth="1" min="5" max="5"/>
    <col width="11" customWidth="1" min="6" max="6"/>
    <col width="7" customWidth="1" min="7" max="7"/>
    <col width="2" customWidth="1" min="8" max="8"/>
    <col width="24" customWidth="1" min="9" max="9"/>
    <col width="5" customWidth="1" min="10" max="10"/>
    <col width="16" customWidth="1" min="11" max="11"/>
    <col width="12" customWidth="1" min="12" max="12"/>
    <col width="10" customWidth="1" min="13" max="13"/>
    <col width="11" customWidth="1" min="14" max="14"/>
    <col width="7" customWidth="1" min="15" max="15"/>
  </cols>
  <sheetData>
    <row r="1">
      <c r="A1" s="4" t="inlineStr">
        <is>
          <t>MOVIMIENTO MENSUAL</t>
        </is>
      </c>
      <c r="I1" s="4" t="inlineStr">
        <is>
          <t>MOVIMIENTO MENSUAL</t>
        </is>
      </c>
    </row>
    <row r="2">
      <c r="B2" s="23" t="inlineStr">
        <is>
          <t>MES:</t>
        </is>
      </c>
      <c r="C2" s="86" t="inlineStr">
        <is>
          <t>Enero</t>
        </is>
      </c>
    </row>
    <row r="3">
      <c r="A3" s="9" t="inlineStr">
        <is>
          <t>FAMILIA</t>
        </is>
      </c>
      <c r="I3" s="10" t="inlineStr">
        <is>
          <t>NEUROTEA</t>
        </is>
      </c>
    </row>
    <row r="4">
      <c r="A4" s="13" t="inlineStr">
        <is>
          <t>CONCEPTO</t>
        </is>
      </c>
      <c r="B4" s="13" t="inlineStr">
        <is>
          <t>DIA</t>
        </is>
      </c>
      <c r="C4" s="13" t="inlineStr">
        <is>
          <t>TIPO</t>
        </is>
      </c>
      <c r="D4" s="13" t="inlineStr">
        <is>
          <t>REAL</t>
        </is>
      </c>
      <c r="E4" s="13" t="inlineStr">
        <is>
          <t>ESTADO</t>
        </is>
      </c>
      <c r="F4" s="13" t="inlineStr">
        <is>
          <t>PRESUP.</t>
        </is>
      </c>
      <c r="G4" s="13" t="inlineStr">
        <is>
          <t>%</t>
        </is>
      </c>
      <c r="I4" s="32" t="inlineStr">
        <is>
          <t>CONCEPTO</t>
        </is>
      </c>
      <c r="J4" s="32" t="inlineStr">
        <is>
          <t>DIA</t>
        </is>
      </c>
      <c r="K4" s="32" t="inlineStr">
        <is>
          <t>TIPO</t>
        </is>
      </c>
      <c r="L4" s="32" t="inlineStr">
        <is>
          <t>REAL</t>
        </is>
      </c>
      <c r="M4" s="32" t="inlineStr">
        <is>
          <t>ESTADO</t>
        </is>
      </c>
      <c r="N4" s="32" t="inlineStr">
        <is>
          <t>PRESUP.</t>
        </is>
      </c>
      <c r="O4" s="32" t="inlineStr">
        <is>
          <t>%</t>
        </is>
      </c>
    </row>
    <row r="5">
      <c r="A5" s="52" t="inlineStr">
        <is>
          <t>INGRESOS FAMILIA</t>
        </is>
      </c>
      <c r="I5" s="52" t="inlineStr">
        <is>
          <t>INGRESOS NEUROTEA</t>
        </is>
      </c>
    </row>
    <row r="6">
      <c r="A6" s="16" t="inlineStr">
        <is>
          <t>Salario Marco</t>
        </is>
      </c>
      <c r="B6" s="16" t="n">
        <v>30</v>
      </c>
      <c r="C6" s="16" t="inlineStr">
        <is>
          <t>Fijo/Mensual</t>
        </is>
      </c>
      <c r="D6" s="17" t="n">
        <v>8500000</v>
      </c>
      <c r="E6" s="16" t="inlineStr">
        <is>
          <t>Pendiente</t>
        </is>
      </c>
      <c r="F6" s="17" t="n">
        <v>8500000</v>
      </c>
      <c r="G6" s="31">
        <f>IF(F6=0,"-",D6/F6)</f>
        <v/>
      </c>
      <c r="I6" s="16" t="inlineStr">
        <is>
          <t>Aporte Terapeutas</t>
        </is>
      </c>
      <c r="J6" s="16" t="n"/>
      <c r="K6" s="16" t="inlineStr">
        <is>
          <t>Variable</t>
        </is>
      </c>
      <c r="L6" s="17" t="n">
        <v>0</v>
      </c>
      <c r="M6" s="16" t="inlineStr">
        <is>
          <t>Pendiente</t>
        </is>
      </c>
      <c r="N6" s="17" t="n">
        <v>25000000</v>
      </c>
      <c r="O6" s="31">
        <f>IF(N6=0,"-",L6/N6)</f>
        <v/>
      </c>
    </row>
    <row r="7">
      <c r="A7" s="16" t="inlineStr">
        <is>
          <t>Salario Marco NeuroTEA</t>
        </is>
      </c>
      <c r="B7" s="16" t="n">
        <v>30</v>
      </c>
      <c r="C7" s="16" t="inlineStr">
        <is>
          <t>Fijo/Mensual</t>
        </is>
      </c>
      <c r="D7" s="17" t="n">
        <v>5000000</v>
      </c>
      <c r="E7" s="16" t="inlineStr">
        <is>
          <t>Pendiente</t>
        </is>
      </c>
      <c r="F7" s="17" t="n">
        <v>5000000</v>
      </c>
      <c r="G7" s="31">
        <f>IF(F7=0,"-",D7/F7)</f>
        <v/>
      </c>
      <c r="I7" s="16" t="inlineStr">
        <is>
          <t>Cursos NeuroTEA</t>
        </is>
      </c>
      <c r="J7" s="16" t="n"/>
      <c r="K7" s="16" t="inlineStr">
        <is>
          <t>Variable</t>
        </is>
      </c>
      <c r="L7" s="17" t="n">
        <v>0</v>
      </c>
      <c r="M7" s="16" t="inlineStr">
        <is>
          <t>Pendiente</t>
        </is>
      </c>
      <c r="N7" s="17" t="n">
        <v>5000000</v>
      </c>
      <c r="O7" s="31">
        <f>IF(N7=0,"-",L7/N7)</f>
        <v/>
      </c>
    </row>
    <row r="8">
      <c r="A8" s="16" t="inlineStr">
        <is>
          <t>Viatico Marco</t>
        </is>
      </c>
      <c r="B8" s="16" t="n"/>
      <c r="C8" s="16" t="inlineStr">
        <is>
          <t>Variable</t>
        </is>
      </c>
      <c r="D8" s="17" t="n">
        <v>0</v>
      </c>
      <c r="E8" s="16" t="inlineStr">
        <is>
          <t>Pendiente</t>
        </is>
      </c>
      <c r="F8" s="17" t="n">
        <v>500000</v>
      </c>
      <c r="G8" s="31">
        <f>IF(F8=0,"-",D8/F8)</f>
        <v/>
      </c>
      <c r="I8" s="16" t="inlineStr">
        <is>
          <t>Otros Ingresos</t>
        </is>
      </c>
      <c r="J8" s="16" t="n"/>
      <c r="K8" s="16" t="inlineStr">
        <is>
          <t>Variable</t>
        </is>
      </c>
      <c r="L8" s="17" t="n">
        <v>0</v>
      </c>
      <c r="M8" s="16" t="inlineStr">
        <is>
          <t>Pendiente</t>
        </is>
      </c>
      <c r="N8" s="17" t="n">
        <v>0</v>
      </c>
      <c r="O8" s="31">
        <f>IF(N8=0,"-",L8/N8)</f>
        <v/>
      </c>
    </row>
    <row r="9">
      <c r="A9" s="16" t="inlineStr">
        <is>
          <t>Animador Biblico</t>
        </is>
      </c>
      <c r="B9" s="16" t="n">
        <v>15</v>
      </c>
      <c r="C9" s="16" t="inlineStr">
        <is>
          <t>Variable/Mensual</t>
        </is>
      </c>
      <c r="D9" s="17" t="n">
        <v>200000</v>
      </c>
      <c r="E9" s="16" t="inlineStr">
        <is>
          <t>Pendiente</t>
        </is>
      </c>
      <c r="F9" s="17" t="n">
        <v>200000</v>
      </c>
      <c r="G9" s="31">
        <f>IF(F9=0,"-",D9/F9)</f>
        <v/>
      </c>
      <c r="I9" s="57" t="inlineStr">
        <is>
          <t>TOTAL INGRESOS NT</t>
        </is>
      </c>
      <c r="J9" s="58" t="n"/>
      <c r="K9" s="58" t="n"/>
      <c r="L9" s="58" t="n"/>
      <c r="M9" s="58" t="n"/>
      <c r="N9" s="58" t="n"/>
      <c r="O9" s="58" t="n"/>
    </row>
    <row r="10">
      <c r="A10" s="16" t="inlineStr">
        <is>
          <t>Honorarios Clara NT</t>
        </is>
      </c>
      <c r="B10" s="16" t="n"/>
      <c r="C10" s="16" t="inlineStr">
        <is>
          <t>Variable</t>
        </is>
      </c>
      <c r="D10" s="17" t="n">
        <v>0</v>
      </c>
      <c r="E10" s="16" t="inlineStr">
        <is>
          <t>Pendiente</t>
        </is>
      </c>
      <c r="F10" s="17" t="n">
        <v>3000000</v>
      </c>
      <c r="G10" s="31">
        <f>IF(F10=0,"-",D10/F10)</f>
        <v/>
      </c>
      <c r="I10" s="68" t="inlineStr">
        <is>
          <t>EGRESOS - CLINICA</t>
        </is>
      </c>
    </row>
    <row r="11">
      <c r="A11" s="57" t="inlineStr">
        <is>
          <t>TOTAL INGRESOS</t>
        </is>
      </c>
      <c r="B11" s="58" t="n"/>
      <c r="C11" s="58" t="n"/>
      <c r="D11" s="58" t="n"/>
      <c r="E11" s="58" t="n"/>
      <c r="F11" s="58" t="n"/>
      <c r="G11" s="58" t="n"/>
      <c r="I11" s="16" t="inlineStr">
        <is>
          <t>Alquiler Principal</t>
        </is>
      </c>
      <c r="J11" s="16" t="n">
        <v>5</v>
      </c>
      <c r="K11" s="16" t="inlineStr">
        <is>
          <t>Fijo/Mensual</t>
        </is>
      </c>
      <c r="L11" s="17" t="n">
        <v>13500000</v>
      </c>
      <c r="M11" s="16" t="inlineStr">
        <is>
          <t>Pendiente</t>
        </is>
      </c>
      <c r="N11" s="17" t="n">
        <v>13500000</v>
      </c>
      <c r="O11" s="31">
        <f>IF(N11=0,"-",L11/N11)</f>
        <v/>
      </c>
    </row>
    <row r="12">
      <c r="A12" s="60" t="inlineStr">
        <is>
          <t>EGRESOS - GASTOS FIJOS</t>
        </is>
      </c>
      <c r="I12" s="16" t="inlineStr">
        <is>
          <t>Alquiler Secundario</t>
        </is>
      </c>
      <c r="J12" s="16" t="n">
        <v>5</v>
      </c>
      <c r="K12" s="16" t="inlineStr">
        <is>
          <t>Fijo/Mensual</t>
        </is>
      </c>
      <c r="L12" s="17" t="n">
        <v>4130000</v>
      </c>
      <c r="M12" s="16" t="inlineStr">
        <is>
          <t>Pendiente</t>
        </is>
      </c>
      <c r="N12" s="17" t="n">
        <v>4130000</v>
      </c>
      <c r="O12" s="31">
        <f>IF(N12=0,"-",L12/N12)</f>
        <v/>
      </c>
    </row>
    <row r="13">
      <c r="A13" s="16" t="inlineStr">
        <is>
          <t>Salario Lili</t>
        </is>
      </c>
      <c r="B13" s="16" t="n">
        <v>30</v>
      </c>
      <c r="C13" s="16" t="inlineStr">
        <is>
          <t>Fijo/Mensual</t>
        </is>
      </c>
      <c r="D13" s="17" t="n">
        <v>1800000</v>
      </c>
      <c r="E13" s="16" t="inlineStr">
        <is>
          <t>Pendiente</t>
        </is>
      </c>
      <c r="F13" s="17" t="n">
        <v>1800000</v>
      </c>
      <c r="G13" s="31">
        <f>IF(F13=0,"-",D13/F13)</f>
        <v/>
      </c>
      <c r="I13" s="16" t="inlineStr">
        <is>
          <t>ANDE Clinica</t>
        </is>
      </c>
      <c r="J13" s="16" t="n">
        <v>15</v>
      </c>
      <c r="K13" s="16" t="inlineStr">
        <is>
          <t>Variable/Mensual</t>
        </is>
      </c>
      <c r="L13" s="17" t="n">
        <v>350000</v>
      </c>
      <c r="M13" s="16" t="inlineStr">
        <is>
          <t>Pendiente</t>
        </is>
      </c>
      <c r="N13" s="17" t="n">
        <v>350000</v>
      </c>
      <c r="O13" s="31">
        <f>IF(N13=0,"-",L13/N13)</f>
        <v/>
      </c>
    </row>
    <row r="14">
      <c r="A14" s="16" t="inlineStr">
        <is>
          <t>Salario Laura</t>
        </is>
      </c>
      <c r="B14" s="16" t="n">
        <v>30</v>
      </c>
      <c r="C14" s="16" t="inlineStr">
        <is>
          <t>Fijo/Mensual</t>
        </is>
      </c>
      <c r="D14" s="17" t="n">
        <v>1200000</v>
      </c>
      <c r="E14" s="16" t="inlineStr">
        <is>
          <t>Pendiente</t>
        </is>
      </c>
      <c r="F14" s="17" t="n">
        <v>1200000</v>
      </c>
      <c r="G14" s="31">
        <f>IF(F14=0,"-",D14/F14)</f>
        <v/>
      </c>
      <c r="I14" s="44" t="inlineStr">
        <is>
          <t>SUBTOTAL CLINICA</t>
        </is>
      </c>
      <c r="J14" s="61" t="n"/>
      <c r="K14" s="61" t="n"/>
      <c r="L14" s="61" t="n"/>
      <c r="M14" s="61" t="n"/>
      <c r="N14" s="61" t="n"/>
      <c r="O14" s="61" t="n"/>
    </row>
    <row r="15">
      <c r="A15" s="16" t="inlineStr">
        <is>
          <t>Escuela Ninos</t>
        </is>
      </c>
      <c r="B15" s="16" t="n">
        <v>10</v>
      </c>
      <c r="C15" s="16" t="inlineStr">
        <is>
          <t>Fijo/Mensual</t>
        </is>
      </c>
      <c r="D15" s="17" t="n">
        <v>1600000</v>
      </c>
      <c r="E15" s="16" t="inlineStr">
        <is>
          <t>Pendiente</t>
        </is>
      </c>
      <c r="F15" s="17" t="n">
        <v>1600000</v>
      </c>
      <c r="G15" s="31">
        <f>IF(F15=0,"-",D15/F15)</f>
        <v/>
      </c>
      <c r="I15" s="68" t="inlineStr">
        <is>
          <t>EGRESOS - SUELDOS</t>
        </is>
      </c>
    </row>
    <row r="16">
      <c r="A16" s="16" t="inlineStr">
        <is>
          <t>Robotica Ninos</t>
        </is>
      </c>
      <c r="B16" s="16" t="n">
        <v>11</v>
      </c>
      <c r="C16" s="16" t="inlineStr">
        <is>
          <t>Fijo/Mensual</t>
        </is>
      </c>
      <c r="D16" s="17" t="n">
        <v>400000</v>
      </c>
      <c r="E16" s="16" t="inlineStr">
        <is>
          <t>Pendiente</t>
        </is>
      </c>
      <c r="F16" s="17" t="n">
        <v>400000</v>
      </c>
      <c r="G16" s="31">
        <f>IF(F16=0,"-",D16/F16)</f>
        <v/>
      </c>
      <c r="I16" s="16" t="inlineStr">
        <is>
          <t>Sueldo Aracely</t>
        </is>
      </c>
      <c r="J16" s="16" t="n">
        <v>30</v>
      </c>
      <c r="K16" s="16" t="inlineStr">
        <is>
          <t>Fijo/Mensual</t>
        </is>
      </c>
      <c r="L16" s="17" t="n">
        <v>2000000</v>
      </c>
      <c r="M16" s="16" t="inlineStr">
        <is>
          <t>Pendiente</t>
        </is>
      </c>
      <c r="N16" s="17" t="n">
        <v>2000000</v>
      </c>
      <c r="O16" s="31">
        <f>IF(N16=0,"-",L16/N16)</f>
        <v/>
      </c>
    </row>
    <row r="17">
      <c r="A17" s="16" t="inlineStr">
        <is>
          <t>ANDE Casa</t>
        </is>
      </c>
      <c r="B17" s="16" t="n">
        <v>15</v>
      </c>
      <c r="C17" s="16" t="inlineStr">
        <is>
          <t>Variable/Mensual</t>
        </is>
      </c>
      <c r="D17" s="17" t="n">
        <v>400000</v>
      </c>
      <c r="E17" s="16" t="inlineStr">
        <is>
          <t>Pendiente</t>
        </is>
      </c>
      <c r="F17" s="17" t="n">
        <v>400000</v>
      </c>
      <c r="G17" s="31">
        <f>IF(F17=0,"-",D17/F17)</f>
        <v/>
      </c>
      <c r="I17" s="16" t="inlineStr">
        <is>
          <t>Sueldo Fatima</t>
        </is>
      </c>
      <c r="J17" s="16" t="n">
        <v>30</v>
      </c>
      <c r="K17" s="16" t="inlineStr">
        <is>
          <t>Fijo/Mensual</t>
        </is>
      </c>
      <c r="L17" s="17" t="n">
        <v>1800000</v>
      </c>
      <c r="M17" s="16" t="inlineStr">
        <is>
          <t>Pendiente</t>
        </is>
      </c>
      <c r="N17" s="17" t="n">
        <v>1800000</v>
      </c>
      <c r="O17" s="31">
        <f>IF(N17=0,"-",L17/N17)</f>
        <v/>
      </c>
    </row>
    <row r="18">
      <c r="A18" s="16" t="inlineStr">
        <is>
          <t>Expensa Casa</t>
        </is>
      </c>
      <c r="B18" s="16" t="n">
        <v>10</v>
      </c>
      <c r="C18" s="16" t="inlineStr">
        <is>
          <t>Variable/Mensual</t>
        </is>
      </c>
      <c r="D18" s="17" t="n">
        <v>300000</v>
      </c>
      <c r="E18" s="16" t="inlineStr">
        <is>
          <t>Pendiente</t>
        </is>
      </c>
      <c r="F18" s="17" t="n">
        <v>300000</v>
      </c>
      <c r="G18" s="31">
        <f>IF(F18=0,"-",D18/F18)</f>
        <v/>
      </c>
      <c r="I18" s="16" t="inlineStr">
        <is>
          <t>Honorario Contador</t>
        </is>
      </c>
      <c r="J18" s="16" t="n">
        <v>5</v>
      </c>
      <c r="K18" s="16" t="inlineStr">
        <is>
          <t>Variable/Mensual</t>
        </is>
      </c>
      <c r="L18" s="17" t="n">
        <v>500000</v>
      </c>
      <c r="M18" s="16" t="inlineStr">
        <is>
          <t>Pendiente</t>
        </is>
      </c>
      <c r="N18" s="17" t="n">
        <v>500000</v>
      </c>
      <c r="O18" s="31">
        <f>IF(N18=0,"-",L18/N18)</f>
        <v/>
      </c>
    </row>
    <row r="19">
      <c r="A19" s="16" t="inlineStr">
        <is>
          <t>Na Luisa</t>
        </is>
      </c>
      <c r="B19" s="16" t="n">
        <v>5</v>
      </c>
      <c r="C19" s="16" t="inlineStr">
        <is>
          <t>Fijo/Mensual</t>
        </is>
      </c>
      <c r="D19" s="17" t="n">
        <v>1200000</v>
      </c>
      <c r="E19" s="16" t="inlineStr">
        <is>
          <t>Pendiente</t>
        </is>
      </c>
      <c r="F19" s="17" t="n">
        <v>1200000</v>
      </c>
      <c r="G19" s="31">
        <f>IF(F19=0,"-",D19/F19)</f>
        <v/>
      </c>
      <c r="I19" s="16" t="inlineStr">
        <is>
          <t>Salario Admin</t>
        </is>
      </c>
      <c r="J19" s="16" t="n">
        <v>30</v>
      </c>
      <c r="K19" s="16" t="inlineStr">
        <is>
          <t>Fijo/Mensual</t>
        </is>
      </c>
      <c r="L19" s="17" t="n">
        <v>5000000</v>
      </c>
      <c r="M19" s="16" t="inlineStr">
        <is>
          <t>Pendiente</t>
        </is>
      </c>
      <c r="N19" s="17" t="n">
        <v>5000000</v>
      </c>
      <c r="O19" s="31">
        <f>IF(N19=0,"-",L19/N19)</f>
        <v/>
      </c>
    </row>
    <row r="20">
      <c r="A20" s="16" t="inlineStr">
        <is>
          <t>Contadora Marco</t>
        </is>
      </c>
      <c r="B20" s="16" t="n">
        <v>15</v>
      </c>
      <c r="C20" s="16" t="inlineStr">
        <is>
          <t>Fijo/Mensual</t>
        </is>
      </c>
      <c r="D20" s="17" t="n">
        <v>350000</v>
      </c>
      <c r="E20" s="16" t="inlineStr">
        <is>
          <t>Pendiente</t>
        </is>
      </c>
      <c r="F20" s="17" t="n">
        <v>350000</v>
      </c>
      <c r="G20" s="31">
        <f>IF(F20=0,"-",D20/F20)</f>
        <v/>
      </c>
      <c r="I20" s="16" t="inlineStr">
        <is>
          <t>Mant. Sistema</t>
        </is>
      </c>
      <c r="J20" s="16" t="n">
        <v>5</v>
      </c>
      <c r="K20" s="16" t="inlineStr">
        <is>
          <t>Fijo/Mensual</t>
        </is>
      </c>
      <c r="L20" s="17" t="n">
        <v>300000</v>
      </c>
      <c r="M20" s="16" t="inlineStr">
        <is>
          <t>Pendiente</t>
        </is>
      </c>
      <c r="N20" s="17" t="n">
        <v>300000</v>
      </c>
      <c r="O20" s="31">
        <f>IF(N20=0,"-",L20/N20)</f>
        <v/>
      </c>
    </row>
    <row r="21">
      <c r="A21" s="44" t="inlineStr">
        <is>
          <t>SUBTOTAL GASTOS FIJOS</t>
        </is>
      </c>
      <c r="B21" s="61" t="n"/>
      <c r="C21" s="61" t="n"/>
      <c r="D21" s="61" t="n"/>
      <c r="E21" s="61" t="n"/>
      <c r="F21" s="61" t="n"/>
      <c r="G21" s="61" t="n"/>
      <c r="I21" s="44" t="inlineStr">
        <is>
          <t>SUBTOTAL SUELDOS</t>
        </is>
      </c>
      <c r="J21" s="61" t="n"/>
      <c r="K21" s="61" t="n"/>
      <c r="L21" s="61" t="n"/>
      <c r="M21" s="61" t="n"/>
      <c r="N21" s="61" t="n"/>
      <c r="O21" s="61" t="n"/>
    </row>
    <row r="22">
      <c r="A22" s="60" t="inlineStr">
        <is>
          <t>EGRESOS - CUOTAS</t>
        </is>
      </c>
      <c r="I22" s="68" t="inlineStr">
        <is>
          <t>EGRESOS - TELEFONIA</t>
        </is>
      </c>
    </row>
    <row r="23">
      <c r="A23" s="16" t="inlineStr">
        <is>
          <t>Cajubi Marco</t>
        </is>
      </c>
      <c r="B23" s="16" t="n">
        <v>10</v>
      </c>
      <c r="C23" s="16" t="inlineStr">
        <is>
          <t>Fijo/Mensual</t>
        </is>
      </c>
      <c r="D23" s="17" t="n">
        <v>200000</v>
      </c>
      <c r="E23" s="16" t="inlineStr">
        <is>
          <t>Pendiente</t>
        </is>
      </c>
      <c r="F23" s="17" t="n">
        <v>200000</v>
      </c>
      <c r="G23" s="31">
        <f>IF(F23=0,"-",D23/F23)</f>
        <v/>
      </c>
      <c r="I23" s="16" t="inlineStr">
        <is>
          <t>Celular Tigo NT</t>
        </is>
      </c>
      <c r="J23" s="16" t="n">
        <v>10</v>
      </c>
      <c r="K23" s="16" t="inlineStr">
        <is>
          <t>Fijo/Mensual</t>
        </is>
      </c>
      <c r="L23" s="17" t="n">
        <v>100000</v>
      </c>
      <c r="M23" s="16" t="inlineStr">
        <is>
          <t>Pendiente</t>
        </is>
      </c>
      <c r="N23" s="17" t="n">
        <v>100000</v>
      </c>
      <c r="O23" s="31">
        <f>IF(N23=0,"-",L23/N23)</f>
        <v/>
      </c>
    </row>
    <row r="24">
      <c r="A24" s="16" t="inlineStr">
        <is>
          <t>Mutual Marco</t>
        </is>
      </c>
      <c r="B24" s="16" t="n">
        <v>10</v>
      </c>
      <c r="C24" s="16" t="inlineStr">
        <is>
          <t>Variable/Mensual</t>
        </is>
      </c>
      <c r="D24" s="17" t="n">
        <v>150000</v>
      </c>
      <c r="E24" s="16" t="inlineStr">
        <is>
          <t>Pendiente</t>
        </is>
      </c>
      <c r="F24" s="17" t="n">
        <v>150000</v>
      </c>
      <c r="G24" s="31">
        <f>IF(F24=0,"-",D24/F24)</f>
        <v/>
      </c>
      <c r="I24" s="16" t="inlineStr">
        <is>
          <t>Celular Sistema</t>
        </is>
      </c>
      <c r="J24" s="16" t="n">
        <v>10</v>
      </c>
      <c r="K24" s="16" t="inlineStr">
        <is>
          <t>Fijo/Mensual</t>
        </is>
      </c>
      <c r="L24" s="17" t="n">
        <v>100000</v>
      </c>
      <c r="M24" s="16" t="inlineStr">
        <is>
          <t>Pendiente</t>
        </is>
      </c>
      <c r="N24" s="17" t="n">
        <v>100000</v>
      </c>
      <c r="O24" s="31">
        <f>IF(N24=0,"-",L24/N24)</f>
        <v/>
      </c>
    </row>
    <row r="25">
      <c r="A25" s="16" t="inlineStr">
        <is>
          <t>Cuota ITAU</t>
        </is>
      </c>
      <c r="B25" s="16" t="n">
        <v>15</v>
      </c>
      <c r="C25" s="16" t="inlineStr">
        <is>
          <t>Fijo/Mensual</t>
        </is>
      </c>
      <c r="D25" s="17" t="n">
        <v>391000</v>
      </c>
      <c r="E25" s="16" t="inlineStr">
        <is>
          <t>Pendiente</t>
        </is>
      </c>
      <c r="F25" s="17" t="n">
        <v>391000</v>
      </c>
      <c r="G25" s="31">
        <f>IF(F25=0,"-",D25/F25)</f>
        <v/>
      </c>
      <c r="I25" s="16" t="inlineStr">
        <is>
          <t>WhatsFlow</t>
        </is>
      </c>
      <c r="J25" s="16" t="n">
        <v>5</v>
      </c>
      <c r="K25" s="16" t="inlineStr">
        <is>
          <t>Fijo/Mensual</t>
        </is>
      </c>
      <c r="L25" s="17" t="n">
        <v>150000</v>
      </c>
      <c r="M25" s="16" t="inlineStr">
        <is>
          <t>Pendiente</t>
        </is>
      </c>
      <c r="N25" s="17" t="n">
        <v>150000</v>
      </c>
      <c r="O25" s="31">
        <f>IF(N25=0,"-",L25/N25)</f>
        <v/>
      </c>
    </row>
    <row r="26">
      <c r="A26" s="16" t="inlineStr">
        <is>
          <t>Auto Laura</t>
        </is>
      </c>
      <c r="B26" s="16" t="n">
        <v>20</v>
      </c>
      <c r="C26" s="16" t="inlineStr">
        <is>
          <t>Fijo/Mensual</t>
        </is>
      </c>
      <c r="D26" s="17" t="n">
        <v>2000000</v>
      </c>
      <c r="E26" s="16" t="inlineStr">
        <is>
          <t>Pendiente</t>
        </is>
      </c>
      <c r="F26" s="17" t="n">
        <v>2000000</v>
      </c>
      <c r="G26" s="31">
        <f>IF(F26=0,"-",D26/F26)</f>
        <v/>
      </c>
      <c r="I26" s="16" t="inlineStr">
        <is>
          <t>Internet NT</t>
        </is>
      </c>
      <c r="J26" s="16" t="n">
        <v>10</v>
      </c>
      <c r="K26" s="16" t="inlineStr">
        <is>
          <t>Fijo/Mensual</t>
        </is>
      </c>
      <c r="L26" s="17" t="n">
        <v>200000</v>
      </c>
      <c r="M26" s="16" t="inlineStr">
        <is>
          <t>Pendiente</t>
        </is>
      </c>
      <c r="N26" s="17" t="n">
        <v>200000</v>
      </c>
      <c r="O26" s="31">
        <f>IF(N26=0,"-",L26/N26)</f>
        <v/>
      </c>
    </row>
    <row r="27">
      <c r="A27" s="16" t="inlineStr">
        <is>
          <t>Coop Univ Clara</t>
        </is>
      </c>
      <c r="B27" s="16" t="n">
        <v>15</v>
      </c>
      <c r="C27" s="16" t="inlineStr">
        <is>
          <t>Fijo/Mensual</t>
        </is>
      </c>
      <c r="D27" s="17" t="n">
        <v>800000</v>
      </c>
      <c r="E27" s="16" t="inlineStr">
        <is>
          <t>Pendiente</t>
        </is>
      </c>
      <c r="F27" s="17" t="n">
        <v>800000</v>
      </c>
      <c r="G27" s="31">
        <f>IF(F27=0,"-",D27/F27)</f>
        <v/>
      </c>
      <c r="I27" s="44" t="inlineStr">
        <is>
          <t>SUBTOTAL TELEFONIA</t>
        </is>
      </c>
      <c r="J27" s="61" t="n"/>
      <c r="K27" s="61" t="n"/>
      <c r="L27" s="61" t="n"/>
      <c r="M27" s="61" t="n"/>
      <c r="N27" s="61" t="n"/>
      <c r="O27" s="61" t="n"/>
    </row>
    <row r="28">
      <c r="A28" s="16" t="inlineStr">
        <is>
          <t>Coomecipar Clara</t>
        </is>
      </c>
      <c r="B28" s="16" t="n">
        <v>15</v>
      </c>
      <c r="C28" s="16" t="inlineStr">
        <is>
          <t>Fijo/Mensual</t>
        </is>
      </c>
      <c r="D28" s="17" t="n">
        <v>500000</v>
      </c>
      <c r="E28" s="16" t="inlineStr">
        <is>
          <t>Pendiente</t>
        </is>
      </c>
      <c r="F28" s="17" t="n">
        <v>500000</v>
      </c>
      <c r="G28" s="31">
        <f>IF(F28=0,"-",D28/F28)</f>
        <v/>
      </c>
      <c r="I28" s="68" t="inlineStr">
        <is>
          <t>EGRESOS - OBLIGACIONES</t>
        </is>
      </c>
    </row>
    <row r="29">
      <c r="A29" s="16" t="inlineStr">
        <is>
          <t>Solar Prestamo 1</t>
        </is>
      </c>
      <c r="B29" s="16" t="n">
        <v>20</v>
      </c>
      <c r="C29" s="16" t="inlineStr">
        <is>
          <t>Fijo/Mensual</t>
        </is>
      </c>
      <c r="D29" s="17" t="n">
        <v>850000</v>
      </c>
      <c r="E29" s="16" t="inlineStr">
        <is>
          <t>Pendiente</t>
        </is>
      </c>
      <c r="F29" s="17" t="n">
        <v>850000</v>
      </c>
      <c r="G29" s="31">
        <f>IF(F29=0,"-",D29/F29)</f>
        <v/>
      </c>
      <c r="I29" s="16" t="inlineStr">
        <is>
          <t>IVA</t>
        </is>
      </c>
      <c r="J29" s="16" t="n">
        <v>20</v>
      </c>
      <c r="K29" s="16" t="inlineStr">
        <is>
          <t>Variable/Mensual</t>
        </is>
      </c>
      <c r="L29" s="17" t="n">
        <v>1500000</v>
      </c>
      <c r="M29" s="16" t="inlineStr">
        <is>
          <t>Pendiente</t>
        </is>
      </c>
      <c r="N29" s="17" t="n">
        <v>1500000</v>
      </c>
      <c r="O29" s="31">
        <f>IF(N29=0,"-",L29/N29)</f>
        <v/>
      </c>
    </row>
    <row r="30">
      <c r="A30" s="16" t="inlineStr">
        <is>
          <t>Solar Prestamo 2</t>
        </is>
      </c>
      <c r="B30" s="16" t="n">
        <v>20</v>
      </c>
      <c r="C30" s="16" t="inlineStr">
        <is>
          <t>Fijo/Mensual</t>
        </is>
      </c>
      <c r="D30" s="17" t="n">
        <v>650000</v>
      </c>
      <c r="E30" s="16" t="inlineStr">
        <is>
          <t>Pendiente</t>
        </is>
      </c>
      <c r="F30" s="17" t="n">
        <v>650000</v>
      </c>
      <c r="G30" s="31">
        <f>IF(F30=0,"-",D30/F30)</f>
        <v/>
      </c>
      <c r="I30" s="16" t="inlineStr">
        <is>
          <t>IPS</t>
        </is>
      </c>
      <c r="J30" s="16" t="n">
        <v>15</v>
      </c>
      <c r="K30" s="16" t="inlineStr">
        <is>
          <t>Fijo/Mensual</t>
        </is>
      </c>
      <c r="L30" s="17" t="n">
        <v>800000</v>
      </c>
      <c r="M30" s="16" t="inlineStr">
        <is>
          <t>Pendiente</t>
        </is>
      </c>
      <c r="N30" s="17" t="n">
        <v>800000</v>
      </c>
      <c r="O30" s="31">
        <f>IF(N30=0,"-",L30/N30)</f>
        <v/>
      </c>
    </row>
    <row r="31">
      <c r="A31" s="44" t="inlineStr">
        <is>
          <t>SUBTOTAL CUOTAS</t>
        </is>
      </c>
      <c r="B31" s="61" t="n"/>
      <c r="C31" s="61" t="n"/>
      <c r="D31" s="61" t="n"/>
      <c r="E31" s="61" t="n"/>
      <c r="F31" s="61" t="n"/>
      <c r="G31" s="61" t="n"/>
      <c r="I31" s="44" t="inlineStr">
        <is>
          <t>SUBTOTAL OBLIGACIONES</t>
        </is>
      </c>
      <c r="J31" s="61" t="n"/>
      <c r="K31" s="61" t="n"/>
      <c r="L31" s="61" t="n"/>
      <c r="M31" s="61" t="n"/>
      <c r="N31" s="61" t="n"/>
      <c r="O31" s="61" t="n"/>
    </row>
    <row r="32">
      <c r="A32" s="60" t="inlineStr">
        <is>
          <t>EGRESOS - SUSCRIPCIONES</t>
        </is>
      </c>
      <c r="I32" s="68" t="inlineStr">
        <is>
          <t>EGRESOS - VARIABLES</t>
        </is>
      </c>
    </row>
    <row r="33">
      <c r="A33" s="16" t="inlineStr">
        <is>
          <t>Giganet</t>
        </is>
      </c>
      <c r="B33" s="16" t="n">
        <v>5</v>
      </c>
      <c r="C33" s="16" t="inlineStr">
        <is>
          <t>Fijo/Mensual</t>
        </is>
      </c>
      <c r="D33" s="17" t="n">
        <v>250000</v>
      </c>
      <c r="E33" s="16" t="inlineStr">
        <is>
          <t>Pendiente</t>
        </is>
      </c>
      <c r="F33" s="17" t="n">
        <v>250000</v>
      </c>
      <c r="G33" s="31">
        <f>IF(F33=0,"-",D33/F33)</f>
        <v/>
      </c>
      <c r="I33" s="16" t="inlineStr">
        <is>
          <t>Insumos</t>
        </is>
      </c>
      <c r="J33" s="16" t="n"/>
      <c r="K33" s="16" t="inlineStr">
        <is>
          <t>Variable</t>
        </is>
      </c>
      <c r="L33" s="17" t="n">
        <v>0</v>
      </c>
      <c r="M33" s="16" t="inlineStr">
        <is>
          <t>Pendiente</t>
        </is>
      </c>
      <c r="N33" s="17" t="n">
        <v>150000</v>
      </c>
      <c r="O33" s="31">
        <f>IF(N33=0,"-",L33/N33)</f>
        <v/>
      </c>
    </row>
    <row r="34">
      <c r="A34" s="16" t="inlineStr">
        <is>
          <t>Tigo Familiar</t>
        </is>
      </c>
      <c r="B34" s="16" t="n">
        <v>10</v>
      </c>
      <c r="C34" s="16" t="inlineStr">
        <is>
          <t>Fijo/Mensual</t>
        </is>
      </c>
      <c r="D34" s="17" t="n">
        <v>320000</v>
      </c>
      <c r="E34" s="16" t="inlineStr">
        <is>
          <t>Pendiente</t>
        </is>
      </c>
      <c r="F34" s="17" t="n">
        <v>320000</v>
      </c>
      <c r="G34" s="31">
        <f>IF(F34=0,"-",D34/F34)</f>
        <v/>
      </c>
      <c r="I34" s="16" t="inlineStr">
        <is>
          <t>Gastos Cursos</t>
        </is>
      </c>
      <c r="J34" s="16" t="n"/>
      <c r="K34" s="16" t="inlineStr">
        <is>
          <t>Variable</t>
        </is>
      </c>
      <c r="L34" s="17" t="n">
        <v>0</v>
      </c>
      <c r="M34" s="16" t="inlineStr">
        <is>
          <t>Pendiente</t>
        </is>
      </c>
      <c r="N34" s="17" t="n">
        <v>200000</v>
      </c>
      <c r="O34" s="31">
        <f>IF(N34=0,"-",L34/N34)</f>
        <v/>
      </c>
    </row>
    <row r="35">
      <c r="A35" s="44" t="inlineStr">
        <is>
          <t>SUBTOTAL SUSCRIPCIONES</t>
        </is>
      </c>
      <c r="B35" s="61" t="n"/>
      <c r="C35" s="61" t="n"/>
      <c r="D35" s="61" t="n"/>
      <c r="E35" s="61" t="n"/>
      <c r="F35" s="61" t="n"/>
      <c r="G35" s="61" t="n"/>
      <c r="I35" s="16" t="inlineStr">
        <is>
          <t>Mantenimiento</t>
        </is>
      </c>
      <c r="J35" s="16" t="n"/>
      <c r="K35" s="16" t="inlineStr">
        <is>
          <t>Variable</t>
        </is>
      </c>
      <c r="L35" s="17" t="n">
        <v>0</v>
      </c>
      <c r="M35" s="16" t="inlineStr">
        <is>
          <t>Pendiente</t>
        </is>
      </c>
      <c r="N35" s="17" t="n">
        <v>100000</v>
      </c>
      <c r="O35" s="31">
        <f>IF(N35=0,"-",L35/N35)</f>
        <v/>
      </c>
    </row>
    <row r="36">
      <c r="A36" s="60" t="inlineStr">
        <is>
          <t>EGRESOS - VARIABLES</t>
        </is>
      </c>
      <c r="I36" s="44" t="inlineStr">
        <is>
          <t>SUBTOTAL VARIABLES</t>
        </is>
      </c>
      <c r="J36" s="61" t="n"/>
      <c r="K36" s="61" t="n"/>
      <c r="L36" s="61" t="n"/>
      <c r="M36" s="61" t="n"/>
      <c r="N36" s="61" t="n"/>
      <c r="O36" s="61" t="n"/>
    </row>
    <row r="37">
      <c r="A37" s="16" t="inlineStr">
        <is>
          <t>Supermercado</t>
        </is>
      </c>
      <c r="B37" s="16" t="n"/>
      <c r="C37" s="16" t="inlineStr">
        <is>
          <t>Variable</t>
        </is>
      </c>
      <c r="D37" s="17" t="n">
        <v>0</v>
      </c>
      <c r="E37" s="16" t="inlineStr">
        <is>
          <t>Pendiente</t>
        </is>
      </c>
      <c r="F37" s="17" t="n">
        <v>800000</v>
      </c>
      <c r="G37" s="31">
        <f>IF(F37=0,"-",D37/F37)</f>
        <v/>
      </c>
      <c r="I37" s="64" t="inlineStr">
        <is>
          <t>TOTAL EGRESOS NT</t>
        </is>
      </c>
      <c r="J37" s="65" t="n"/>
      <c r="K37" s="65" t="n"/>
      <c r="L37" s="65" t="n"/>
      <c r="M37" s="65" t="n"/>
      <c r="N37" s="65" t="n"/>
      <c r="O37" s="65" t="n"/>
    </row>
    <row r="38">
      <c r="A38" s="16" t="inlineStr">
        <is>
          <t>Combustible</t>
        </is>
      </c>
      <c r="B38" s="16" t="n"/>
      <c r="C38" s="16" t="inlineStr">
        <is>
          <t>Variable</t>
        </is>
      </c>
      <c r="D38" s="17" t="n">
        <v>0</v>
      </c>
      <c r="E38" s="16" t="inlineStr">
        <is>
          <t>Pendiente</t>
        </is>
      </c>
      <c r="F38" s="17" t="n">
        <v>600000</v>
      </c>
      <c r="G38" s="31">
        <f>IF(F38=0,"-",D38/F38)</f>
        <v/>
      </c>
      <c r="I38" s="87" t="inlineStr">
        <is>
          <t>GANANCIA BRUTA NT</t>
        </is>
      </c>
      <c r="J38" s="88" t="n"/>
      <c r="K38" s="88" t="n"/>
      <c r="L38" s="88" t="n"/>
      <c r="M38" s="88" t="n"/>
      <c r="N38" s="88" t="n"/>
      <c r="O38" s="88" t="n"/>
    </row>
    <row r="39">
      <c r="A39" s="16" t="inlineStr">
        <is>
          <t>Salud</t>
        </is>
      </c>
      <c r="B39" s="16" t="n"/>
      <c r="C39" s="16" t="inlineStr">
        <is>
          <t>Variable</t>
        </is>
      </c>
      <c r="D39" s="17" t="n">
        <v>0</v>
      </c>
      <c r="E39" s="16" t="inlineStr">
        <is>
          <t>Pendiente</t>
        </is>
      </c>
      <c r="F39" s="17" t="n">
        <v>300000</v>
      </c>
      <c r="G39" s="31">
        <f>IF(F39=0,"-",D39/F39)</f>
        <v/>
      </c>
      <c r="I39" s="87" t="inlineStr">
        <is>
          <t>Meta 7%</t>
        </is>
      </c>
      <c r="J39" s="88" t="n"/>
      <c r="K39" s="88" t="n"/>
      <c r="L39" s="88" t="n"/>
      <c r="M39" s="88" t="n"/>
      <c r="N39" s="88" t="n"/>
      <c r="O39" s="88" t="n"/>
    </row>
    <row r="40">
      <c r="A40" s="16" t="inlineStr">
        <is>
          <t>Recreacion</t>
        </is>
      </c>
      <c r="B40" s="16" t="n"/>
      <c r="C40" s="16" t="inlineStr">
        <is>
          <t>Variable</t>
        </is>
      </c>
      <c r="D40" s="17" t="n">
        <v>0</v>
      </c>
      <c r="E40" s="16" t="inlineStr">
        <is>
          <t>Pendiente</t>
        </is>
      </c>
      <c r="F40" s="17" t="n">
        <v>200000</v>
      </c>
      <c r="G40" s="31">
        <f>IF(F40=0,"-",D40/F40)</f>
        <v/>
      </c>
      <c r="I40" s="33" t="inlineStr">
        <is>
          <t>BALANCE NEUROTEA</t>
        </is>
      </c>
      <c r="J40" s="35" t="n"/>
      <c r="K40" s="35" t="n"/>
      <c r="L40" s="35" t="n"/>
      <c r="M40" s="35" t="n"/>
      <c r="N40" s="35" t="n"/>
      <c r="O40" s="35" t="n"/>
    </row>
    <row r="41">
      <c r="A41" s="16" t="inlineStr">
        <is>
          <t>Varios</t>
        </is>
      </c>
      <c r="B41" s="16" t="n"/>
      <c r="C41" s="16" t="inlineStr">
        <is>
          <t>Variable</t>
        </is>
      </c>
      <c r="D41" s="17" t="n">
        <v>0</v>
      </c>
      <c r="E41" s="16" t="inlineStr">
        <is>
          <t>Pendiente</t>
        </is>
      </c>
      <c r="F41" s="17" t="n">
        <v>300000</v>
      </c>
      <c r="G41" s="31">
        <f>IF(F41=0,"-",D41/F41)</f>
        <v/>
      </c>
    </row>
    <row r="42">
      <c r="A42" s="44" t="inlineStr">
        <is>
          <t>SUBTOTAL VARIABLES</t>
        </is>
      </c>
      <c r="B42" s="61" t="n"/>
      <c r="C42" s="61" t="n"/>
      <c r="D42" s="61" t="n"/>
      <c r="E42" s="61" t="n"/>
      <c r="F42" s="61" t="n"/>
      <c r="G42" s="61" t="n"/>
    </row>
    <row r="43">
      <c r="A43" s="64" t="inlineStr">
        <is>
          <t>TOTAL EGRESOS</t>
        </is>
      </c>
      <c r="B43" s="65" t="n"/>
      <c r="C43" s="65" t="n"/>
      <c r="D43" s="65" t="n"/>
      <c r="E43" s="65" t="n"/>
      <c r="F43" s="65" t="n"/>
      <c r="G43" s="65" t="n"/>
    </row>
    <row r="44">
      <c r="A44" s="33" t="inlineStr">
        <is>
          <t>BALANCE FAMILIA</t>
        </is>
      </c>
      <c r="B44" s="35" t="n"/>
      <c r="C44" s="35" t="n"/>
      <c r="D44" s="35" t="n"/>
      <c r="E44" s="35" t="n"/>
      <c r="F44" s="35" t="n"/>
      <c r="G44" s="35" t="n"/>
    </row>
  </sheetData>
  <mergeCells count="15">
    <mergeCell ref="A32:G32"/>
    <mergeCell ref="A36:G36"/>
    <mergeCell ref="I5:O5"/>
    <mergeCell ref="I1:O1"/>
    <mergeCell ref="A1:G1"/>
    <mergeCell ref="I22:O22"/>
    <mergeCell ref="A3:G3"/>
    <mergeCell ref="A22:G22"/>
    <mergeCell ref="I3:O3"/>
    <mergeCell ref="A12:G12"/>
    <mergeCell ref="I15:O15"/>
    <mergeCell ref="I32:O32"/>
    <mergeCell ref="I10:O10"/>
    <mergeCell ref="A5:G5"/>
    <mergeCell ref="I28:O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2" customWidth="1" min="4" max="4"/>
    <col width="28" customWidth="1" min="5" max="5"/>
    <col width="12" customWidth="1" min="6" max="6"/>
    <col width="14" customWidth="1" min="7" max="7"/>
    <col width="18" customWidth="1" min="8" max="8"/>
  </cols>
  <sheetData>
    <row r="1">
      <c r="A1" s="89" t="inlineStr">
        <is>
          <t>REGISTRO DE MOVIMIENTOS VARIABLES</t>
        </is>
      </c>
    </row>
    <row r="2">
      <c r="A2" s="75" t="inlineStr">
        <is>
          <t>Solo cargar movimientos tipo 'Variable' (Supermercado, Combustible, Aportes Terapeutas, etc.)</t>
        </is>
      </c>
    </row>
    <row r="3">
      <c r="A3" s="23" t="inlineStr">
        <is>
          <t>MES:</t>
        </is>
      </c>
      <c r="B3" s="86" t="inlineStr">
        <is>
          <t>Enero</t>
        </is>
      </c>
    </row>
    <row r="4"/>
    <row r="5">
      <c r="A5" s="53" t="inlineStr">
        <is>
          <t>FECHA</t>
        </is>
      </c>
      <c r="B5" s="53" t="inlineStr">
        <is>
          <t>ENTIDAD</t>
        </is>
      </c>
      <c r="C5" s="53" t="inlineStr">
        <is>
          <t>CATEGORIA</t>
        </is>
      </c>
      <c r="D5" s="53" t="inlineStr">
        <is>
          <t>CONCEPTO</t>
        </is>
      </c>
      <c r="E5" s="53" t="inlineStr">
        <is>
          <t>DESCRIPCION</t>
        </is>
      </c>
      <c r="F5" s="53" t="inlineStr">
        <is>
          <t>MONTO</t>
        </is>
      </c>
      <c r="G5" s="53" t="inlineStr">
        <is>
          <t>CUENTA</t>
        </is>
      </c>
      <c r="H5" s="53" t="inlineStr">
        <is>
          <t>NOTAS</t>
        </is>
      </c>
    </row>
    <row r="6">
      <c r="A6" s="90" t="n"/>
      <c r="B6" s="91" t="n"/>
      <c r="C6" s="91" t="n"/>
      <c r="D6" s="91" t="n"/>
      <c r="E6" s="91" t="n"/>
      <c r="F6" s="18" t="n"/>
      <c r="G6" s="91" t="n"/>
      <c r="H6" s="91" t="n"/>
    </row>
    <row r="7">
      <c r="A7" s="90" t="n"/>
      <c r="B7" s="91" t="n"/>
      <c r="C7" s="91" t="n"/>
      <c r="D7" s="91" t="n"/>
      <c r="E7" s="91" t="n"/>
      <c r="F7" s="18" t="n"/>
      <c r="G7" s="91" t="n"/>
      <c r="H7" s="91" t="n"/>
    </row>
    <row r="8">
      <c r="A8" s="90" t="n"/>
      <c r="B8" s="91" t="n"/>
      <c r="C8" s="91" t="n"/>
      <c r="D8" s="91" t="n"/>
      <c r="E8" s="91" t="n"/>
      <c r="F8" s="18" t="n"/>
      <c r="G8" s="91" t="n"/>
      <c r="H8" s="91" t="n"/>
    </row>
    <row r="9">
      <c r="A9" s="90" t="n"/>
      <c r="B9" s="91" t="n"/>
      <c r="C9" s="91" t="n"/>
      <c r="D9" s="91" t="n"/>
      <c r="E9" s="91" t="n"/>
      <c r="F9" s="18" t="n"/>
      <c r="G9" s="91" t="n"/>
      <c r="H9" s="91" t="n"/>
    </row>
    <row r="10">
      <c r="A10" s="90" t="n"/>
      <c r="B10" s="91" t="n"/>
      <c r="C10" s="91" t="n"/>
      <c r="D10" s="91" t="n"/>
      <c r="E10" s="91" t="n"/>
      <c r="F10" s="18" t="n"/>
      <c r="G10" s="91" t="n"/>
      <c r="H10" s="91" t="n"/>
    </row>
    <row r="11">
      <c r="A11" s="90" t="n"/>
      <c r="B11" s="91" t="n"/>
      <c r="C11" s="91" t="n"/>
      <c r="D11" s="91" t="n"/>
      <c r="E11" s="91" t="n"/>
      <c r="F11" s="18" t="n"/>
      <c r="G11" s="91" t="n"/>
      <c r="H11" s="91" t="n"/>
    </row>
    <row r="12">
      <c r="A12" s="90" t="n"/>
      <c r="B12" s="91" t="n"/>
      <c r="C12" s="91" t="n"/>
      <c r="D12" s="91" t="n"/>
      <c r="E12" s="91" t="n"/>
      <c r="F12" s="18" t="n"/>
      <c r="G12" s="91" t="n"/>
      <c r="H12" s="91" t="n"/>
    </row>
    <row r="13">
      <c r="A13" s="90" t="n"/>
      <c r="B13" s="91" t="n"/>
      <c r="C13" s="91" t="n"/>
      <c r="D13" s="91" t="n"/>
      <c r="E13" s="91" t="n"/>
      <c r="F13" s="18" t="n"/>
      <c r="G13" s="91" t="n"/>
      <c r="H13" s="91" t="n"/>
    </row>
    <row r="14">
      <c r="A14" s="90" t="n"/>
      <c r="B14" s="91" t="n"/>
      <c r="C14" s="91" t="n"/>
      <c r="D14" s="91" t="n"/>
      <c r="E14" s="91" t="n"/>
      <c r="F14" s="18" t="n"/>
      <c r="G14" s="91" t="n"/>
      <c r="H14" s="91" t="n"/>
    </row>
    <row r="15">
      <c r="A15" s="90" t="n"/>
      <c r="B15" s="91" t="n"/>
      <c r="C15" s="91" t="n"/>
      <c r="D15" s="91" t="n"/>
      <c r="E15" s="91" t="n"/>
      <c r="F15" s="18" t="n"/>
      <c r="G15" s="91" t="n"/>
      <c r="H15" s="91" t="n"/>
    </row>
    <row r="16">
      <c r="A16" s="90" t="n"/>
      <c r="B16" s="91" t="n"/>
      <c r="C16" s="91" t="n"/>
      <c r="D16" s="91" t="n"/>
      <c r="E16" s="91" t="n"/>
      <c r="F16" s="18" t="n"/>
      <c r="G16" s="91" t="n"/>
      <c r="H16" s="91" t="n"/>
    </row>
    <row r="17">
      <c r="A17" s="90" t="n"/>
      <c r="B17" s="91" t="n"/>
      <c r="C17" s="91" t="n"/>
      <c r="D17" s="91" t="n"/>
      <c r="E17" s="91" t="n"/>
      <c r="F17" s="18" t="n"/>
      <c r="G17" s="91" t="n"/>
      <c r="H17" s="91" t="n"/>
    </row>
    <row r="18">
      <c r="A18" s="90" t="n"/>
      <c r="B18" s="91" t="n"/>
      <c r="C18" s="91" t="n"/>
      <c r="D18" s="91" t="n"/>
      <c r="E18" s="91" t="n"/>
      <c r="F18" s="18" t="n"/>
      <c r="G18" s="91" t="n"/>
      <c r="H18" s="91" t="n"/>
    </row>
    <row r="19">
      <c r="A19" s="90" t="n"/>
      <c r="B19" s="91" t="n"/>
      <c r="C19" s="91" t="n"/>
      <c r="D19" s="91" t="n"/>
      <c r="E19" s="91" t="n"/>
      <c r="F19" s="18" t="n"/>
      <c r="G19" s="91" t="n"/>
      <c r="H19" s="91" t="n"/>
    </row>
    <row r="20">
      <c r="A20" s="90" t="n"/>
      <c r="B20" s="91" t="n"/>
      <c r="C20" s="91" t="n"/>
      <c r="D20" s="91" t="n"/>
      <c r="E20" s="91" t="n"/>
      <c r="F20" s="18" t="n"/>
      <c r="G20" s="91" t="n"/>
      <c r="H20" s="91" t="n"/>
    </row>
    <row r="21">
      <c r="A21" s="90" t="n"/>
      <c r="B21" s="91" t="n"/>
      <c r="C21" s="91" t="n"/>
      <c r="D21" s="91" t="n"/>
      <c r="E21" s="91" t="n"/>
      <c r="F21" s="18" t="n"/>
      <c r="G21" s="91" t="n"/>
      <c r="H21" s="91" t="n"/>
    </row>
    <row r="22">
      <c r="A22" s="90" t="n"/>
      <c r="B22" s="91" t="n"/>
      <c r="C22" s="91" t="n"/>
      <c r="D22" s="91" t="n"/>
      <c r="E22" s="91" t="n"/>
      <c r="F22" s="18" t="n"/>
      <c r="G22" s="91" t="n"/>
      <c r="H22" s="91" t="n"/>
    </row>
    <row r="23">
      <c r="A23" s="90" t="n"/>
      <c r="B23" s="91" t="n"/>
      <c r="C23" s="91" t="n"/>
      <c r="D23" s="91" t="n"/>
      <c r="E23" s="91" t="n"/>
      <c r="F23" s="18" t="n"/>
      <c r="G23" s="91" t="n"/>
      <c r="H23" s="91" t="n"/>
    </row>
    <row r="24">
      <c r="A24" s="90" t="n"/>
      <c r="B24" s="91" t="n"/>
      <c r="C24" s="91" t="n"/>
      <c r="D24" s="91" t="n"/>
      <c r="E24" s="91" t="n"/>
      <c r="F24" s="18" t="n"/>
      <c r="G24" s="91" t="n"/>
      <c r="H24" s="91" t="n"/>
    </row>
    <row r="25">
      <c r="A25" s="90" t="n"/>
      <c r="B25" s="91" t="n"/>
      <c r="C25" s="91" t="n"/>
      <c r="D25" s="91" t="n"/>
      <c r="E25" s="91" t="n"/>
      <c r="F25" s="18" t="n"/>
      <c r="G25" s="91" t="n"/>
      <c r="H25" s="91" t="n"/>
    </row>
    <row r="26">
      <c r="A26" s="90" t="n"/>
      <c r="B26" s="91" t="n"/>
      <c r="C26" s="91" t="n"/>
      <c r="D26" s="91" t="n"/>
      <c r="E26" s="91" t="n"/>
      <c r="F26" s="18" t="n"/>
      <c r="G26" s="91" t="n"/>
      <c r="H26" s="91" t="n"/>
    </row>
    <row r="27">
      <c r="A27" s="90" t="n"/>
      <c r="B27" s="91" t="n"/>
      <c r="C27" s="91" t="n"/>
      <c r="D27" s="91" t="n"/>
      <c r="E27" s="91" t="n"/>
      <c r="F27" s="18" t="n"/>
      <c r="G27" s="91" t="n"/>
      <c r="H27" s="91" t="n"/>
    </row>
    <row r="28">
      <c r="A28" s="90" t="n"/>
      <c r="B28" s="91" t="n"/>
      <c r="C28" s="91" t="n"/>
      <c r="D28" s="91" t="n"/>
      <c r="E28" s="91" t="n"/>
      <c r="F28" s="18" t="n"/>
      <c r="G28" s="91" t="n"/>
      <c r="H28" s="91" t="n"/>
    </row>
    <row r="29">
      <c r="A29" s="90" t="n"/>
      <c r="B29" s="91" t="n"/>
      <c r="C29" s="91" t="n"/>
      <c r="D29" s="91" t="n"/>
      <c r="E29" s="91" t="n"/>
      <c r="F29" s="18" t="n"/>
      <c r="G29" s="91" t="n"/>
      <c r="H29" s="91" t="n"/>
    </row>
    <row r="30">
      <c r="A30" s="90" t="n"/>
      <c r="B30" s="91" t="n"/>
      <c r="C30" s="91" t="n"/>
      <c r="D30" s="91" t="n"/>
      <c r="E30" s="91" t="n"/>
      <c r="F30" s="18" t="n"/>
      <c r="G30" s="91" t="n"/>
      <c r="H30" s="91" t="n"/>
    </row>
    <row r="31">
      <c r="A31" s="90" t="n"/>
      <c r="B31" s="91" t="n"/>
      <c r="C31" s="91" t="n"/>
      <c r="D31" s="91" t="n"/>
      <c r="E31" s="91" t="n"/>
      <c r="F31" s="18" t="n"/>
      <c r="G31" s="91" t="n"/>
      <c r="H31" s="91" t="n"/>
    </row>
    <row r="32">
      <c r="A32" s="90" t="n"/>
      <c r="B32" s="91" t="n"/>
      <c r="C32" s="91" t="n"/>
      <c r="D32" s="91" t="n"/>
      <c r="E32" s="91" t="n"/>
      <c r="F32" s="18" t="n"/>
      <c r="G32" s="91" t="n"/>
      <c r="H32" s="91" t="n"/>
    </row>
    <row r="33">
      <c r="A33" s="90" t="n"/>
      <c r="B33" s="91" t="n"/>
      <c r="C33" s="91" t="n"/>
      <c r="D33" s="91" t="n"/>
      <c r="E33" s="91" t="n"/>
      <c r="F33" s="18" t="n"/>
      <c r="G33" s="91" t="n"/>
      <c r="H33" s="91" t="n"/>
    </row>
    <row r="34">
      <c r="A34" s="90" t="n"/>
      <c r="B34" s="91" t="n"/>
      <c r="C34" s="91" t="n"/>
      <c r="D34" s="91" t="n"/>
      <c r="E34" s="91" t="n"/>
      <c r="F34" s="18" t="n"/>
      <c r="G34" s="91" t="n"/>
      <c r="H34" s="91" t="n"/>
    </row>
    <row r="35">
      <c r="A35" s="90" t="n"/>
      <c r="B35" s="91" t="n"/>
      <c r="C35" s="91" t="n"/>
      <c r="D35" s="91" t="n"/>
      <c r="E35" s="91" t="n"/>
      <c r="F35" s="18" t="n"/>
      <c r="G35" s="91" t="n"/>
      <c r="H35" s="91" t="n"/>
    </row>
    <row r="36">
      <c r="A36" s="90" t="n"/>
      <c r="B36" s="91" t="n"/>
      <c r="C36" s="91" t="n"/>
      <c r="D36" s="91" t="n"/>
      <c r="E36" s="91" t="n"/>
      <c r="F36" s="18" t="n"/>
      <c r="G36" s="91" t="n"/>
      <c r="H36" s="91" t="n"/>
    </row>
    <row r="37">
      <c r="A37" s="90" t="n"/>
      <c r="B37" s="91" t="n"/>
      <c r="C37" s="91" t="n"/>
      <c r="D37" s="91" t="n"/>
      <c r="E37" s="91" t="n"/>
      <c r="F37" s="18" t="n"/>
      <c r="G37" s="91" t="n"/>
      <c r="H37" s="91" t="n"/>
    </row>
    <row r="38">
      <c r="A38" s="90" t="n"/>
      <c r="B38" s="91" t="n"/>
      <c r="C38" s="91" t="n"/>
      <c r="D38" s="91" t="n"/>
      <c r="E38" s="91" t="n"/>
      <c r="F38" s="18" t="n"/>
      <c r="G38" s="91" t="n"/>
      <c r="H38" s="91" t="n"/>
    </row>
    <row r="39">
      <c r="A39" s="90" t="n"/>
      <c r="B39" s="91" t="n"/>
      <c r="C39" s="91" t="n"/>
      <c r="D39" s="91" t="n"/>
      <c r="E39" s="91" t="n"/>
      <c r="F39" s="18" t="n"/>
      <c r="G39" s="91" t="n"/>
      <c r="H39" s="91" t="n"/>
    </row>
    <row r="40">
      <c r="A40" s="90" t="n"/>
      <c r="B40" s="91" t="n"/>
      <c r="C40" s="91" t="n"/>
      <c r="D40" s="91" t="n"/>
      <c r="E40" s="91" t="n"/>
      <c r="F40" s="18" t="n"/>
      <c r="G40" s="91" t="n"/>
      <c r="H40" s="91" t="n"/>
    </row>
    <row r="41">
      <c r="A41" s="90" t="n"/>
      <c r="B41" s="91" t="n"/>
      <c r="C41" s="91" t="n"/>
      <c r="D41" s="91" t="n"/>
      <c r="E41" s="91" t="n"/>
      <c r="F41" s="18" t="n"/>
      <c r="G41" s="91" t="n"/>
      <c r="H41" s="91" t="n"/>
    </row>
    <row r="42">
      <c r="A42" s="90" t="n"/>
      <c r="B42" s="91" t="n"/>
      <c r="C42" s="91" t="n"/>
      <c r="D42" s="91" t="n"/>
      <c r="E42" s="91" t="n"/>
      <c r="F42" s="18" t="n"/>
      <c r="G42" s="91" t="n"/>
      <c r="H42" s="91" t="n"/>
    </row>
    <row r="43">
      <c r="A43" s="90" t="n"/>
      <c r="B43" s="91" t="n"/>
      <c r="C43" s="91" t="n"/>
      <c r="D43" s="91" t="n"/>
      <c r="E43" s="91" t="n"/>
      <c r="F43" s="18" t="n"/>
      <c r="G43" s="91" t="n"/>
      <c r="H43" s="91" t="n"/>
    </row>
    <row r="44">
      <c r="A44" s="90" t="n"/>
      <c r="B44" s="91" t="n"/>
      <c r="C44" s="91" t="n"/>
      <c r="D44" s="91" t="n"/>
      <c r="E44" s="91" t="n"/>
      <c r="F44" s="18" t="n"/>
      <c r="G44" s="91" t="n"/>
      <c r="H44" s="91" t="n"/>
    </row>
    <row r="45">
      <c r="A45" s="90" t="n"/>
      <c r="B45" s="91" t="n"/>
      <c r="C45" s="91" t="n"/>
      <c r="D45" s="91" t="n"/>
      <c r="E45" s="91" t="n"/>
      <c r="F45" s="18" t="n"/>
      <c r="G45" s="91" t="n"/>
      <c r="H45" s="91" t="n"/>
    </row>
    <row r="46">
      <c r="A46" s="90" t="n"/>
      <c r="B46" s="91" t="n"/>
      <c r="C46" s="91" t="n"/>
      <c r="D46" s="91" t="n"/>
      <c r="E46" s="91" t="n"/>
      <c r="F46" s="18" t="n"/>
      <c r="G46" s="91" t="n"/>
      <c r="H46" s="91" t="n"/>
    </row>
    <row r="47">
      <c r="A47" s="90" t="n"/>
      <c r="B47" s="91" t="n"/>
      <c r="C47" s="91" t="n"/>
      <c r="D47" s="91" t="n"/>
      <c r="E47" s="91" t="n"/>
      <c r="F47" s="18" t="n"/>
      <c r="G47" s="91" t="n"/>
      <c r="H47" s="91" t="n"/>
    </row>
    <row r="48">
      <c r="A48" s="90" t="n"/>
      <c r="B48" s="91" t="n"/>
      <c r="C48" s="91" t="n"/>
      <c r="D48" s="91" t="n"/>
      <c r="E48" s="91" t="n"/>
      <c r="F48" s="18" t="n"/>
      <c r="G48" s="91" t="n"/>
      <c r="H48" s="91" t="n"/>
    </row>
    <row r="49">
      <c r="A49" s="90" t="n"/>
      <c r="B49" s="91" t="n"/>
      <c r="C49" s="91" t="n"/>
      <c r="D49" s="91" t="n"/>
      <c r="E49" s="91" t="n"/>
      <c r="F49" s="18" t="n"/>
      <c r="G49" s="91" t="n"/>
      <c r="H49" s="91" t="n"/>
    </row>
    <row r="50">
      <c r="A50" s="90" t="n"/>
      <c r="B50" s="91" t="n"/>
      <c r="C50" s="91" t="n"/>
      <c r="D50" s="91" t="n"/>
      <c r="E50" s="91" t="n"/>
      <c r="F50" s="18" t="n"/>
      <c r="G50" s="91" t="n"/>
      <c r="H50" s="91" t="n"/>
    </row>
    <row r="51">
      <c r="A51" s="90" t="n"/>
      <c r="B51" s="91" t="n"/>
      <c r="C51" s="91" t="n"/>
      <c r="D51" s="91" t="n"/>
      <c r="E51" s="91" t="n"/>
      <c r="F51" s="18" t="n"/>
      <c r="G51" s="91" t="n"/>
      <c r="H51" s="91" t="n"/>
    </row>
    <row r="52">
      <c r="A52" s="90" t="n"/>
      <c r="B52" s="91" t="n"/>
      <c r="C52" s="91" t="n"/>
      <c r="D52" s="91" t="n"/>
      <c r="E52" s="91" t="n"/>
      <c r="F52" s="18" t="n"/>
      <c r="G52" s="91" t="n"/>
      <c r="H52" s="91" t="n"/>
    </row>
    <row r="53">
      <c r="A53" s="90" t="n"/>
      <c r="B53" s="91" t="n"/>
      <c r="C53" s="91" t="n"/>
      <c r="D53" s="91" t="n"/>
      <c r="E53" s="91" t="n"/>
      <c r="F53" s="18" t="n"/>
      <c r="G53" s="91" t="n"/>
      <c r="H53" s="91" t="n"/>
    </row>
    <row r="54">
      <c r="A54" s="90" t="n"/>
      <c r="B54" s="91" t="n"/>
      <c r="C54" s="91" t="n"/>
      <c r="D54" s="91" t="n"/>
      <c r="E54" s="91" t="n"/>
      <c r="F54" s="18" t="n"/>
      <c r="G54" s="91" t="n"/>
      <c r="H54" s="91" t="n"/>
    </row>
    <row r="55">
      <c r="A55" s="90" t="n"/>
      <c r="B55" s="91" t="n"/>
      <c r="C55" s="91" t="n"/>
      <c r="D55" s="91" t="n"/>
      <c r="E55" s="91" t="n"/>
      <c r="F55" s="18" t="n"/>
      <c r="G55" s="91" t="n"/>
      <c r="H55" s="91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2025-12-31T01:16:58Z</dcterms:created>
  <dcterms:modified xsi:type="dcterms:W3CDTF">2025-12-31T01:16:59Z</dcterms:modified>
</cp:coreProperties>
</file>